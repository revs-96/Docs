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2000168858\Downloads\"/>
    </mc:Choice>
  </mc:AlternateContent>
  <xr:revisionPtr revIDLastSave="735" documentId="13_ncr:1_{292BB994-DB7D-4B27-91E6-3BD1F349B3A0}" xr6:coauthVersionLast="47" xr6:coauthVersionMax="47" xr10:uidLastSave="{7F505BD5-E6E1-4FC0-ACEB-B937FAD2177E}"/>
  <bookViews>
    <workbookView xWindow="-110" yWindow="-110" windowWidth="19420" windowHeight="11500" firstSheet="7" activeTab="4" xr2:uid="{00000000-000D-0000-FFFF-FFFF00000000}"/>
  </bookViews>
  <sheets>
    <sheet name="Overview" sheetId="1" r:id="rId1"/>
    <sheet name="Tasks" sheetId="8" r:id="rId2"/>
    <sheet name="Milestones" sheetId="3" r:id="rId3"/>
    <sheet name="Risks_Issues" sheetId="4" r:id="rId4"/>
    <sheet name="Metrics" sheetId="5" r:id="rId5"/>
    <sheet name="Team Work Challenges" sheetId="6" r:id="rId6"/>
    <sheet name="Sheet1" sheetId="7" r:id="rId7"/>
    <sheet name="Sheet3" sheetId="10" r:id="rId8"/>
    <sheet name="Sheet7" sheetId="14" r:id="rId9"/>
    <sheet name="Sheet4" sheetId="11" r:id="rId10"/>
    <sheet name="Sheet5" sheetId="12" r:id="rId11"/>
    <sheet name="Sheet6" sheetId="13" r:id="rId12"/>
  </sheets>
  <calcPr calcId="191028"/>
  <pivotCaches>
    <pivotCache cacheId="734" r:id="rId13"/>
    <pivotCache cacheId="73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2" i="5"/>
  <c r="B8" i="5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7" i="4"/>
  <c r="F21" i="4"/>
  <c r="F20" i="4"/>
  <c r="F19" i="4"/>
  <c r="F18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<sst xmlns="http://schemas.openxmlformats.org/spreadsheetml/2006/main" count="393" uniqueCount="168">
  <si>
    <t>Field</t>
  </si>
  <si>
    <t>Value</t>
  </si>
  <si>
    <t>Project Name</t>
  </si>
  <si>
    <t>Data Manager AI</t>
  </si>
  <si>
    <t>Owner</t>
  </si>
  <si>
    <t>Start Date</t>
  </si>
  <si>
    <t>Target Completion Date</t>
  </si>
  <si>
    <t>Reporting Cadence</t>
  </si>
  <si>
    <t>Weekly</t>
  </si>
  <si>
    <t>Last Updated</t>
  </si>
  <si>
    <t>2025-12-12</t>
  </si>
  <si>
    <t>Tasks ID</t>
  </si>
  <si>
    <t>Tasks List</t>
  </si>
  <si>
    <t>Tasks Category</t>
  </si>
  <si>
    <t>Task Map</t>
  </si>
  <si>
    <t>Task Discreption</t>
  </si>
  <si>
    <t>Assigned To</t>
  </si>
  <si>
    <t>Target Date</t>
  </si>
  <si>
    <t>Actual End Date</t>
  </si>
  <si>
    <t>Status</t>
  </si>
  <si>
    <t>% Complete</t>
  </si>
  <si>
    <t>Dependencies</t>
  </si>
  <si>
    <t>Comments</t>
  </si>
  <si>
    <t>Dashboard</t>
  </si>
  <si>
    <t>Frontend</t>
  </si>
  <si>
    <t>Arthi/Tejasree</t>
  </si>
  <si>
    <t>Completed</t>
  </si>
  <si>
    <t>Study Management</t>
  </si>
  <si>
    <t>Data Integration</t>
  </si>
  <si>
    <t>In Progress</t>
  </si>
  <si>
    <t>Trail Data Management</t>
  </si>
  <si>
    <t>Data Manager.AI</t>
  </si>
  <si>
    <t>DB Schema - Dashboard</t>
  </si>
  <si>
    <t>Database</t>
  </si>
  <si>
    <t>Ritesh</t>
  </si>
  <si>
    <t>DB Schema - Study Management</t>
  </si>
  <si>
    <t>DB Schema - Data Integration</t>
  </si>
  <si>
    <t>Deepta</t>
  </si>
  <si>
    <t>DB Schema - Trail Data Management</t>
  </si>
  <si>
    <t>DB Schema - DataManager.AI</t>
  </si>
  <si>
    <t>Hanif</t>
  </si>
  <si>
    <t>Populate Trail Data into PostgreSQL</t>
  </si>
  <si>
    <t>Populate EDC Data(DM,SV,DS,AE...) into PostgreSQL</t>
  </si>
  <si>
    <t>Ruthra</t>
  </si>
  <si>
    <t>Study Management - CRUD - DB</t>
  </si>
  <si>
    <t>Backend</t>
  </si>
  <si>
    <t>User should be able to create new studies, sites,studycontacts, vendors, documents.</t>
  </si>
  <si>
    <t>Priyeshwer</t>
  </si>
  <si>
    <t>Creating and Integrate PostgreSQL DBs</t>
  </si>
  <si>
    <t>Make Refresh, Pause, Actions - Dynamic</t>
  </si>
  <si>
    <t>Scheduler</t>
  </si>
  <si>
    <t>Integrate Integration Logs</t>
  </si>
  <si>
    <t>Not Started</t>
  </si>
  <si>
    <t>Build Data Quality Checks Agent</t>
  </si>
  <si>
    <t>Ruthra/Hanif</t>
  </si>
  <si>
    <t>Build Reconcilation Agent</t>
  </si>
  <si>
    <t>Data Fetch Agent</t>
  </si>
  <si>
    <t>DQ Processing Agent</t>
  </si>
  <si>
    <t>Protocol Check Agent</t>
  </si>
  <si>
    <t>Task Manager Agent</t>
  </si>
  <si>
    <t>Test Study Management</t>
  </si>
  <si>
    <t>Test Data Integration</t>
  </si>
  <si>
    <t>Test Trail Data Management</t>
  </si>
  <si>
    <t>Test Data Manager.AI</t>
  </si>
  <si>
    <t xml:space="preserve">Maintain Complete Workflow </t>
  </si>
  <si>
    <t>Real-Time Monitoring</t>
  </si>
  <si>
    <t>Aarthi</t>
  </si>
  <si>
    <t>Monitor.ai/Notifications</t>
  </si>
  <si>
    <t>Deepta/Tejashree</t>
  </si>
  <si>
    <t>Milestone</t>
  </si>
  <si>
    <t>Actual Date</t>
  </si>
  <si>
    <t>Front End</t>
  </si>
  <si>
    <t>Back End</t>
  </si>
  <si>
    <t>API Integration</t>
  </si>
  <si>
    <t>Cloud Migration</t>
  </si>
  <si>
    <t>Agent Orchestration</t>
  </si>
  <si>
    <t>Mitul</t>
  </si>
  <si>
    <t>Business Rules</t>
  </si>
  <si>
    <t>Prabhakar</t>
  </si>
  <si>
    <t>discuss for better Rules engine</t>
  </si>
  <si>
    <t>Cloud CI-CD Set-up</t>
  </si>
  <si>
    <t>Creating separeate Azure cluster</t>
  </si>
  <si>
    <t>Send Team email ID</t>
  </si>
  <si>
    <t xml:space="preserve">Eswar </t>
  </si>
  <si>
    <t>done</t>
  </si>
  <si>
    <t>Access to Azure Portal</t>
  </si>
  <si>
    <t>STG Team</t>
  </si>
  <si>
    <t>Subscriton ID</t>
  </si>
  <si>
    <t>Connect with STG team with SubscriotionID</t>
  </si>
  <si>
    <t>Eswar &amp; Mitul</t>
  </si>
  <si>
    <t>not done</t>
  </si>
  <si>
    <t>Contributor Access to Eswar and Prabhakar</t>
  </si>
  <si>
    <t>Contributor access role Training to ESWAr and Prabhakar</t>
  </si>
  <si>
    <t>Azure Pipeline creation</t>
  </si>
  <si>
    <t>Git Repo switch to Azure Repo</t>
  </si>
  <si>
    <t>.ENV files to Mitul</t>
  </si>
  <si>
    <t>Eswar</t>
  </si>
  <si>
    <t>Meet with Venkata and Team</t>
  </si>
  <si>
    <t>Rule Engine</t>
  </si>
  <si>
    <t>ID</t>
  </si>
  <si>
    <t>Risk / Issue</t>
  </si>
  <si>
    <t>Type (Risk/Issue)</t>
  </si>
  <si>
    <t>Impact</t>
  </si>
  <si>
    <t>Likelihood</t>
  </si>
  <si>
    <t>Severity (=Impact x Likelihood)</t>
  </si>
  <si>
    <t>Mitigation / Action</t>
  </si>
  <si>
    <t>Azure license</t>
  </si>
  <si>
    <t>Resource Group needs to be created</t>
  </si>
  <si>
    <t>Postgress</t>
  </si>
  <si>
    <t>Python fast API</t>
  </si>
  <si>
    <t xml:space="preserve">Gemini 2.5 Flash /dummy data </t>
  </si>
  <si>
    <t>Azure Data Foundry - Production/POC</t>
  </si>
  <si>
    <t>Multi-LLMS/Multi-Agents ?</t>
  </si>
  <si>
    <t>Notes</t>
  </si>
  <si>
    <t>Azure Access</t>
  </si>
  <si>
    <t>Azure PostgreSQL DB</t>
  </si>
  <si>
    <t>Risk</t>
  </si>
  <si>
    <t>Azure Blob Storage</t>
  </si>
  <si>
    <t>Azure Key Vault</t>
  </si>
  <si>
    <t>Azure App Services</t>
  </si>
  <si>
    <t>Azure Monitor</t>
  </si>
  <si>
    <t>Azure Logic Apps</t>
  </si>
  <si>
    <t>Application Insights</t>
  </si>
  <si>
    <t>Open -AI and Orchestration</t>
  </si>
  <si>
    <t>Azure Foundry</t>
  </si>
  <si>
    <t>RAG</t>
  </si>
  <si>
    <t>Azure-AI Search</t>
  </si>
  <si>
    <t>RADIS Cache</t>
  </si>
  <si>
    <t>User Management</t>
  </si>
  <si>
    <t>Entra ID / Hexaware SSO/Client SSO</t>
  </si>
  <si>
    <t>API Subnet</t>
  </si>
  <si>
    <t>Symeantic Kernel</t>
  </si>
  <si>
    <t>Azure documents</t>
  </si>
  <si>
    <t>Front END</t>
  </si>
  <si>
    <t>React</t>
  </si>
  <si>
    <t>AI</t>
  </si>
  <si>
    <t>FAST API</t>
  </si>
  <si>
    <t>Metric</t>
  </si>
  <si>
    <t>Total Tasks</t>
  </si>
  <si>
    <t>Completed Tasks</t>
  </si>
  <si>
    <t>In Progress Tasks</t>
  </si>
  <si>
    <t>Not Started Tasks</t>
  </si>
  <si>
    <t>On Hold Tasks</t>
  </si>
  <si>
    <t>Overdue Tasks</t>
  </si>
  <si>
    <t>% Completion (Weighted by % Complete)</t>
  </si>
  <si>
    <t>Date</t>
  </si>
  <si>
    <t xml:space="preserve">Task </t>
  </si>
  <si>
    <t>Task Details</t>
  </si>
  <si>
    <t>Who</t>
  </si>
  <si>
    <t>Resolved (Yes/No)</t>
  </si>
  <si>
    <t>Resolved By?</t>
  </si>
  <si>
    <t xml:space="preserve">Date </t>
  </si>
  <si>
    <t>Task</t>
  </si>
  <si>
    <t>status</t>
  </si>
  <si>
    <t>Update Target dates</t>
  </si>
  <si>
    <t>start business rules</t>
  </si>
  <si>
    <t>Update Task Map- Datamanager,Central Monitor</t>
  </si>
  <si>
    <t>Effort Tracker</t>
  </si>
  <si>
    <t>Daily Task Tracker-</t>
  </si>
  <si>
    <t>Update Task Start date</t>
  </si>
  <si>
    <t>Count of Status</t>
  </si>
  <si>
    <t>(blank)</t>
  </si>
  <si>
    <t>Grand Total</t>
  </si>
  <si>
    <t>Count of Assigned To</t>
  </si>
  <si>
    <t>Count of Tasks Category</t>
  </si>
  <si>
    <t>Backend Total</t>
  </si>
  <si>
    <t>Database Total</t>
  </si>
  <si>
    <t>Frontend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</si>
</sst>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[$-409]d\-mmm\-yyyy;@"/>
    <numFmt numFmtId="167" formatCode="[$-409]d\-mmm\-yy;@"/>
  </numFmts>
  <fonts count="6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BEE"/>
        <bgColor rgb="FFFFEBEE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3" borderId="2" xfId="0" applyFill="1" applyBorder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66" fontId="0" fillId="0" borderId="0" xfId="0" applyNumberFormat="1"/>
    <xf numFmtId="16" fontId="0" fillId="0" borderId="0" xfId="0" applyNumberFormat="1"/>
    <xf numFmtId="0" fontId="2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0" xfId="0" applyFill="1"/>
    <xf numFmtId="0" fontId="4" fillId="7" borderId="2" xfId="0" applyFont="1" applyFill="1" applyBorder="1"/>
    <xf numFmtId="0" fontId="0" fillId="8" borderId="2" xfId="0" applyFill="1" applyBorder="1"/>
    <xf numFmtId="0" fontId="0" fillId="8" borderId="0" xfId="0" applyFill="1"/>
    <xf numFmtId="0" fontId="0" fillId="3" borderId="0" xfId="0" applyFill="1"/>
    <xf numFmtId="167" fontId="3" fillId="2" borderId="2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/>
    <xf numFmtId="167" fontId="0" fillId="7" borderId="2" xfId="0" applyNumberFormat="1" applyFill="1" applyBorder="1"/>
    <xf numFmtId="167" fontId="5" fillId="3" borderId="2" xfId="0" applyNumberFormat="1" applyFont="1" applyFill="1" applyBorder="1"/>
    <xf numFmtId="167" fontId="5" fillId="7" borderId="2" xfId="0" applyNumberFormat="1" applyFont="1" applyFill="1" applyBorder="1"/>
    <xf numFmtId="167" fontId="0" fillId="8" borderId="2" xfId="0" applyNumberFormat="1" applyFill="1" applyBorder="1"/>
    <xf numFmtId="167" fontId="0" fillId="0" borderId="0" xfId="0" applyNumberFormat="1"/>
    <xf numFmtId="0" fontId="0" fillId="0" borderId="0" xfId="0" pivotButton="1"/>
    <xf numFmtId="0" fontId="2" fillId="9" borderId="3" xfId="0" applyFont="1" applyFill="1" applyBorder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'Completed', 'In Progress', 'Not Started' by 'Tasks 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Sheet7!B1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3"/>
                <c:pt idx="0">
                  <c:v>Backend</c:v>
                </c:pt>
                <c:pt idx="1">
                  <c:v>Database</c:v>
                </c:pt>
                <c:pt idx="2">
                  <c:v>Frontend</c:v>
                </c:pt>
              </c:strCache>
            </c:strRef>
          </c:cat>
          <c:val>
            <c:numRef>
              <c:f>Sheet7!$B$2:$B$4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AE782E1-9AD0-41CF-9BBC-CC8D9C910ECD}"/>
            </c:ext>
          </c:extLst>
        </c:ser>
        <c:ser>
          <c:idx val="1"/>
          <c:order val="1"/>
          <c:tx>
            <c:strRef>
              <c:f>Sheet7!C1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3"/>
                <c:pt idx="0">
                  <c:v>Backend</c:v>
                </c:pt>
                <c:pt idx="1">
                  <c:v>Database</c:v>
                </c:pt>
                <c:pt idx="2">
                  <c:v>Frontend</c:v>
                </c:pt>
              </c:strCache>
            </c:strRef>
          </c:cat>
          <c:val>
            <c:numRef>
              <c:f>Sheet7!$C$2:$C$4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77FCB1F-A9DB-45AB-A029-0A8EF151417C}"/>
            </c:ext>
          </c:extLst>
        </c:ser>
        <c:ser>
          <c:idx val="2"/>
          <c:order val="2"/>
          <c:tx>
            <c:strRef>
              <c:f>Sheet7!D1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3"/>
                <c:pt idx="0">
                  <c:v>Backend</c:v>
                </c:pt>
                <c:pt idx="1">
                  <c:v>Database</c:v>
                </c:pt>
                <c:pt idx="2">
                  <c:v>Frontend</c:v>
                </c:pt>
              </c:strCache>
            </c:strRef>
          </c:cat>
          <c:val>
            <c:numRef>
              <c:f>Sheet7!$D$2:$D$4</c:f>
              <c:numCache>
                <c:formatCode>General</c:formatCode>
                <c:ptCount val="3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D7EF1F0-0118-4619-B5CE-33C07B22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485849607"/>
        <c:axId val="1485851655"/>
      </c:barChart>
      <c:catAx>
        <c:axId val="1485849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51655"/>
        <c:crosses val="autoZero"/>
        <c:auto val="1"/>
        <c:lblAlgn val="ctr"/>
        <c:lblOffset val="100"/>
        <c:noMultiLvlLbl val="0"/>
      </c:catAx>
      <c:valAx>
        <c:axId val="1485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5</xdr:row>
      <xdr:rowOff>19050</xdr:rowOff>
    </xdr:from>
    <xdr:to>
      <xdr:col>9</xdr:col>
      <xdr:colOff>257175</xdr:colOff>
      <xdr:row>19</xdr:row>
      <xdr:rowOff>95250</xdr:rowOff>
    </xdr:to>
    <xdr:graphicFrame macro="">
      <xdr:nvGraphicFramePr>
        <xdr:cNvPr id="2" name="Chart 1" descr="Chart type: Clustered Column. 'Completed', 'In Progress', 'Not Started' by 'Tasks Category'&#10;&#10;Description automatically generated">
          <a:extLst>
            <a:ext uri="{FF2B5EF4-FFF2-40B4-BE49-F238E27FC236}">
              <a16:creationId xmlns:a16="http://schemas.microsoft.com/office/drawing/2014/main" id="{9CB84C59-5B54-16D0-BA48-7BBE3C983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742793750003" createdVersion="8" refreshedVersion="8" minRefreshableVersion="3" recordCount="30" xr:uid="{1DABD623-2F78-4461-8B14-54CA1D3C26BD}">
  <cacheSource type="worksheet">
    <worksheetSource ref="A1:M1048576" sheet="Tasks"/>
  </cacheSource>
  <cacheFields count="13">
    <cacheField name="Tasks ID" numFmtId="0">
      <sharedItems containsBlank="1"/>
    </cacheField>
    <cacheField name="Tasks List" numFmtId="0">
      <sharedItems containsBlank="1" count="30">
        <s v="Dashboard"/>
        <s v="Study Management"/>
        <s v="Data Integration"/>
        <s v="Trail Data Management"/>
        <s v="Data Manager.AI"/>
        <s v="DB Schema - Dashboard"/>
        <s v="DB Schema - Study Management"/>
        <s v="DB Schema - Data Integration"/>
        <s v="DB Schema - Trail Data Management"/>
        <s v="DB Schema - DataManager.AI"/>
        <s v="Populate Trail Data into PostgreSQL"/>
        <s v="Study Management - CRUD - DB"/>
        <s v="Creating and Integrate PostgreSQL DBs"/>
        <s v="Make Refresh, Pause, Actions - Dynamic"/>
        <s v="Scheduler"/>
        <s v="Integrate Integration Logs"/>
        <s v="Build Data Quality Checks Agent"/>
        <s v="Build Reconcilation Agent"/>
        <s v="Data Fetch Agent"/>
        <s v="DQ Processing Agent"/>
        <s v="Protocol Check Agent"/>
        <s v="Task Manager Agent"/>
        <s v="Test Study Management"/>
        <s v="Test Data Integration"/>
        <s v="Test Trail Data Management"/>
        <s v="Test Data Manager.AI"/>
        <s v="Maintain Complete Workflow "/>
        <s v="Real-Time Monitoring"/>
        <s v="Monitor.ai/Notifications"/>
        <m/>
      </sharedItems>
    </cacheField>
    <cacheField name="Tasks Category" numFmtId="0">
      <sharedItems containsBlank="1" count="4">
        <s v="Frontend"/>
        <s v="Database"/>
        <s v="Backend"/>
        <m/>
      </sharedItems>
    </cacheField>
    <cacheField name="Task Map" numFmtId="0">
      <sharedItems containsBlank="1"/>
    </cacheField>
    <cacheField name="Task Discreption" numFmtId="0">
      <sharedItems containsBlank="1"/>
    </cacheField>
    <cacheField name="Assigned To" numFmtId="0">
      <sharedItems containsBlank="1"/>
    </cacheField>
    <cacheField name="Start Date" numFmtId="167">
      <sharedItems containsNonDate="0" containsDate="1" containsString="0" containsBlank="1" minDate="2026-01-02T00:00:00" maxDate="2026-01-09T00:00:00"/>
    </cacheField>
    <cacheField name="Target Date" numFmtId="167">
      <sharedItems containsNonDate="0" containsDate="1" containsString="0" containsBlank="1" minDate="2025-01-06T00:00:00" maxDate="2026-01-10T00:00:00"/>
    </cacheField>
    <cacheField name="Actual End Date" numFmtId="0">
      <sharedItems containsNonDate="0" containsDate="1" containsString="0" containsBlank="1" minDate="2025-01-06T00:00:00" maxDate="2026-01-07T00:00:00"/>
    </cacheField>
    <cacheField name="Status" numFmtId="0">
      <sharedItems containsBlank="1" count="4">
        <s v="Completed"/>
        <s v="In Progress"/>
        <s v="Not Started"/>
        <m/>
      </sharedItems>
    </cacheField>
    <cacheField name="% Complete" numFmtId="0">
      <sharedItems containsNonDate="0" containsString="0" containsBlank="1"/>
    </cacheField>
    <cacheField name="Dependencie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74747962963" createdVersion="8" refreshedVersion="8" minRefreshableVersion="3" recordCount="29" xr:uid="{24855A6D-2E3E-4F6C-9378-1B5E63760EF6}">
  <cacheSource type="worksheet">
    <worksheetSource ref="A1:M30" sheet="Tasks"/>
  </cacheSource>
  <cacheFields count="13">
    <cacheField name="Tasks ID" numFmtId="0">
      <sharedItems/>
    </cacheField>
    <cacheField name="Tasks List" numFmtId="0">
      <sharedItems/>
    </cacheField>
    <cacheField name="Tasks Category" numFmtId="0">
      <sharedItems count="3">
        <s v="Frontend"/>
        <s v="Database"/>
        <s v="Backend"/>
      </sharedItems>
    </cacheField>
    <cacheField name="Task Map" numFmtId="0">
      <sharedItems/>
    </cacheField>
    <cacheField name="Task Discreption" numFmtId="0">
      <sharedItems containsBlank="1"/>
    </cacheField>
    <cacheField name="Assigned To" numFmtId="0">
      <sharedItems count="9">
        <s v="Arthi/Tejasree"/>
        <s v="Ritesh"/>
        <s v="Deepta"/>
        <s v="Hanif"/>
        <s v="Ruthra"/>
        <s v="Priyeshwer"/>
        <s v="Ruthra/Hanif"/>
        <s v="Aarthi"/>
        <s v="Deepta/Tejashree"/>
      </sharedItems>
    </cacheField>
    <cacheField name="Start Date" numFmtId="167">
      <sharedItems containsNonDate="0" containsDate="1" containsString="0" containsBlank="1" minDate="2026-01-02T00:00:00" maxDate="2026-01-09T00:00:00"/>
    </cacheField>
    <cacheField name="Target Date" numFmtId="167">
      <sharedItems containsNonDate="0" containsDate="1" containsString="0" containsBlank="1" minDate="2025-01-06T00:00:00" maxDate="2026-01-10T00:00:00"/>
    </cacheField>
    <cacheField name="Actual End Date" numFmtId="0">
      <sharedItems containsNonDate="0" containsDate="1" containsString="0" containsBlank="1" minDate="2025-01-06T00:00:00" maxDate="2026-01-07T00:00:00"/>
    </cacheField>
    <cacheField name="Status" numFmtId="0">
      <sharedItems count="3">
        <s v="Completed"/>
        <s v="In Progress"/>
        <s v="Not Started"/>
      </sharedItems>
    </cacheField>
    <cacheField name="% Complete" numFmtId="0">
      <sharedItems containsNonDate="0" containsString="0" containsBlank="1"/>
    </cacheField>
    <cacheField name="Dependencie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Dashboard"/>
    <x v="0"/>
    <x v="0"/>
    <s v="Dashboard"/>
    <m/>
    <s v="Arthi/Tejasree"/>
    <d v="2026-01-02T00:00:00"/>
    <d v="2026-01-05T00:00:00"/>
    <d v="2026-01-05T00:00:00"/>
    <x v="0"/>
    <m/>
    <m/>
    <m/>
  </r>
  <r>
    <s v="Study Management"/>
    <x v="1"/>
    <x v="0"/>
    <s v="Study Management"/>
    <m/>
    <s v="Arthi/Tejasree"/>
    <d v="2026-01-02T00:00:00"/>
    <d v="2026-01-05T00:00:00"/>
    <d v="2026-01-05T00:00:00"/>
    <x v="0"/>
    <m/>
    <m/>
    <m/>
  </r>
  <r>
    <s v="Data Integration"/>
    <x v="2"/>
    <x v="0"/>
    <s v="Data Integration"/>
    <m/>
    <s v="Arthi/Tejasree"/>
    <d v="2026-01-05T00:00:00"/>
    <d v="2026-01-07T00:00:00"/>
    <m/>
    <x v="1"/>
    <m/>
    <m/>
    <m/>
  </r>
  <r>
    <s v="Trail Data Management"/>
    <x v="3"/>
    <x v="0"/>
    <s v="Trail Data Management"/>
    <m/>
    <s v="Arthi/Tejasree"/>
    <d v="2026-01-05T00:00:00"/>
    <d v="2026-01-08T00:00:00"/>
    <m/>
    <x v="1"/>
    <m/>
    <m/>
    <m/>
  </r>
  <r>
    <s v="Data Manager.AI"/>
    <x v="4"/>
    <x v="0"/>
    <s v="Data Manager.AI"/>
    <m/>
    <s v="Arthi/Tejasree"/>
    <d v="2026-01-05T00:00:00"/>
    <d v="2026-01-08T00:00:00"/>
    <m/>
    <x v="1"/>
    <m/>
    <m/>
    <m/>
  </r>
  <r>
    <s v="DB Schema - Dashboard"/>
    <x v="5"/>
    <x v="1"/>
    <s v="Dashboard"/>
    <m/>
    <s v="Ritesh"/>
    <d v="2026-01-02T00:00:00"/>
    <d v="2025-01-06T00:00:00"/>
    <d v="2025-01-06T00:00:00"/>
    <x v="0"/>
    <m/>
    <m/>
    <m/>
  </r>
  <r>
    <s v="DB Schema - Study Management"/>
    <x v="6"/>
    <x v="1"/>
    <s v="Study Management"/>
    <m/>
    <s v="Ritesh"/>
    <d v="2026-01-06T00:00:00"/>
    <d v="2026-01-07T00:00:00"/>
    <m/>
    <x v="1"/>
    <m/>
    <m/>
    <m/>
  </r>
  <r>
    <s v="DB Schema - Data Integration"/>
    <x v="7"/>
    <x v="1"/>
    <s v="Data Integration"/>
    <m/>
    <s v="Deepta"/>
    <d v="2026-01-05T00:00:00"/>
    <d v="2026-01-06T00:00:00"/>
    <d v="2026-01-06T00:00:00"/>
    <x v="0"/>
    <m/>
    <m/>
    <m/>
  </r>
  <r>
    <s v="DB Schema - Trail Data Management"/>
    <x v="8"/>
    <x v="1"/>
    <s v="Trail Data Management"/>
    <m/>
    <s v="Ritesh"/>
    <d v="2026-01-06T00:00:00"/>
    <d v="2026-01-07T00:00:00"/>
    <m/>
    <x v="1"/>
    <m/>
    <m/>
    <m/>
  </r>
  <r>
    <s v="DB Schema - DataManager.AI"/>
    <x v="9"/>
    <x v="1"/>
    <s v="Data Manager.AI"/>
    <m/>
    <s v="Hanif"/>
    <d v="2026-01-06T00:00:00"/>
    <d v="2026-01-07T00:00:00"/>
    <m/>
    <x v="1"/>
    <m/>
    <m/>
    <m/>
  </r>
  <r>
    <s v="Populate Trail Data into PostgreSQL"/>
    <x v="10"/>
    <x v="1"/>
    <s v="Trail Data Management"/>
    <s v="Populate EDC Data(DM,SV,DS,AE...) into PostgreSQL"/>
    <s v="Ruthra"/>
    <d v="2026-01-08T00:00:00"/>
    <d v="2026-01-09T00:00:00"/>
    <m/>
    <x v="1"/>
    <m/>
    <m/>
    <m/>
  </r>
  <r>
    <s v="Study Management - CRUD - DB"/>
    <x v="11"/>
    <x v="2"/>
    <s v="Study Management"/>
    <s v="User should be able to create new studies, sites,studycontacts, vendors, documents."/>
    <s v="Priyeshwer"/>
    <m/>
    <m/>
    <m/>
    <x v="1"/>
    <m/>
    <m/>
    <m/>
  </r>
  <r>
    <s v="Creating and Integrate PostgreSQL DBs"/>
    <x v="12"/>
    <x v="2"/>
    <s v="Data Integration"/>
    <m/>
    <s v="Priyeshwer"/>
    <m/>
    <m/>
    <m/>
    <x v="2"/>
    <m/>
    <m/>
    <m/>
  </r>
  <r>
    <s v="Make Refresh, Pause, Actions - Dynamic"/>
    <x v="13"/>
    <x v="2"/>
    <s v="Data Integration"/>
    <m/>
    <s v="Priyeshwer"/>
    <m/>
    <m/>
    <m/>
    <x v="2"/>
    <m/>
    <m/>
    <m/>
  </r>
  <r>
    <s v="Scheduler"/>
    <x v="14"/>
    <x v="2"/>
    <s v="Data Integration"/>
    <m/>
    <s v="Deepta"/>
    <m/>
    <m/>
    <m/>
    <x v="2"/>
    <m/>
    <m/>
    <m/>
  </r>
  <r>
    <s v="Integrate Integration Logs"/>
    <x v="15"/>
    <x v="2"/>
    <s v="Data Integration"/>
    <m/>
    <s v="Priyeshwer"/>
    <m/>
    <m/>
    <m/>
    <x v="2"/>
    <m/>
    <m/>
    <m/>
  </r>
  <r>
    <s v="Build Data Quality Checks Agent"/>
    <x v="16"/>
    <x v="2"/>
    <s v="Data Manager.AI"/>
    <m/>
    <s v="Ruthra/Hanif"/>
    <m/>
    <m/>
    <m/>
    <x v="2"/>
    <m/>
    <m/>
    <m/>
  </r>
  <r>
    <s v="Build Reconcilation Agent"/>
    <x v="17"/>
    <x v="2"/>
    <s v="Data Manager.AI"/>
    <m/>
    <s v="Ruthra/Hanif"/>
    <m/>
    <m/>
    <m/>
    <x v="2"/>
    <m/>
    <m/>
    <m/>
  </r>
  <r>
    <s v="Data Fetch Agent"/>
    <x v="18"/>
    <x v="2"/>
    <s v="Data Manager.AI"/>
    <m/>
    <s v="Ruthra/Hanif"/>
    <m/>
    <m/>
    <m/>
    <x v="2"/>
    <m/>
    <m/>
    <m/>
  </r>
  <r>
    <s v="DQ Processing Agent"/>
    <x v="19"/>
    <x v="2"/>
    <s v="Data Manager.AI"/>
    <m/>
    <s v="Ruthra/Hanif"/>
    <m/>
    <m/>
    <m/>
    <x v="2"/>
    <m/>
    <m/>
    <m/>
  </r>
  <r>
    <s v="Protocol Check Agent"/>
    <x v="20"/>
    <x v="2"/>
    <s v="Data Manager.AI"/>
    <m/>
    <s v="Ruthra/Hanif"/>
    <m/>
    <m/>
    <m/>
    <x v="2"/>
    <m/>
    <m/>
    <m/>
  </r>
  <r>
    <s v="Task Manager Agent"/>
    <x v="21"/>
    <x v="2"/>
    <s v="Data Manager.AI"/>
    <m/>
    <s v="Ruthra/Hanif"/>
    <m/>
    <m/>
    <m/>
    <x v="2"/>
    <m/>
    <m/>
    <m/>
  </r>
  <r>
    <s v="Test Study Management"/>
    <x v="22"/>
    <x v="2"/>
    <s v="Study Management"/>
    <m/>
    <s v="Ritesh"/>
    <m/>
    <m/>
    <m/>
    <x v="2"/>
    <m/>
    <m/>
    <m/>
  </r>
  <r>
    <s v="Test Data Integration"/>
    <x v="23"/>
    <x v="2"/>
    <s v="Data Integration"/>
    <m/>
    <s v="Ritesh"/>
    <m/>
    <m/>
    <m/>
    <x v="2"/>
    <m/>
    <m/>
    <m/>
  </r>
  <r>
    <s v="Test Trail Data Management"/>
    <x v="24"/>
    <x v="2"/>
    <s v="Trail Data Management"/>
    <m/>
    <s v="Ritesh"/>
    <m/>
    <m/>
    <m/>
    <x v="2"/>
    <m/>
    <m/>
    <m/>
  </r>
  <r>
    <s v="Test Data Manager.AI"/>
    <x v="25"/>
    <x v="2"/>
    <s v="Data Manager.AI"/>
    <m/>
    <s v="Ritesh"/>
    <m/>
    <m/>
    <m/>
    <x v="2"/>
    <m/>
    <m/>
    <m/>
  </r>
  <r>
    <s v="Maintain Complete Workflow "/>
    <x v="26"/>
    <x v="2"/>
    <s v="Data Manager.AI"/>
    <m/>
    <s v="Ritesh"/>
    <m/>
    <m/>
    <m/>
    <x v="2"/>
    <m/>
    <m/>
    <m/>
  </r>
  <r>
    <s v="Real-Time Monitoring"/>
    <x v="27"/>
    <x v="2"/>
    <s v="Data Integration"/>
    <m/>
    <s v="Aarthi"/>
    <m/>
    <m/>
    <m/>
    <x v="2"/>
    <m/>
    <m/>
    <m/>
  </r>
  <r>
    <s v="Monitor.ai/Notifications"/>
    <x v="28"/>
    <x v="2"/>
    <s v="Data Integration"/>
    <m/>
    <s v="Deepta/Tejashree"/>
    <m/>
    <m/>
    <m/>
    <x v="2"/>
    <m/>
    <m/>
    <m/>
  </r>
  <r>
    <m/>
    <x v="29"/>
    <x v="3"/>
    <m/>
    <m/>
    <m/>
    <m/>
    <m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Dashboard"/>
    <s v="Dashboard"/>
    <x v="0"/>
    <s v="Dashboard"/>
    <m/>
    <x v="0"/>
    <d v="2026-01-02T00:00:00"/>
    <d v="2026-01-05T00:00:00"/>
    <d v="2026-01-05T00:00:00"/>
    <x v="0"/>
    <m/>
    <m/>
    <m/>
  </r>
  <r>
    <s v="Study Management"/>
    <s v="Study Management"/>
    <x v="0"/>
    <s v="Study Management"/>
    <m/>
    <x v="0"/>
    <d v="2026-01-02T00:00:00"/>
    <d v="2026-01-05T00:00:00"/>
    <d v="2026-01-05T00:00:00"/>
    <x v="0"/>
    <m/>
    <m/>
    <m/>
  </r>
  <r>
    <s v="Data Integration"/>
    <s v="Data Integration"/>
    <x v="0"/>
    <s v="Data Integration"/>
    <m/>
    <x v="0"/>
    <d v="2026-01-05T00:00:00"/>
    <d v="2026-01-07T00:00:00"/>
    <m/>
    <x v="1"/>
    <m/>
    <m/>
    <m/>
  </r>
  <r>
    <s v="Trail Data Management"/>
    <s v="Trail Data Management"/>
    <x v="0"/>
    <s v="Trail Data Management"/>
    <m/>
    <x v="0"/>
    <d v="2026-01-05T00:00:00"/>
    <d v="2026-01-08T00:00:00"/>
    <m/>
    <x v="1"/>
    <m/>
    <m/>
    <m/>
  </r>
  <r>
    <s v="Data Manager.AI"/>
    <s v="Data Manager.AI"/>
    <x v="0"/>
    <s v="Data Manager.AI"/>
    <m/>
    <x v="0"/>
    <d v="2026-01-05T00:00:00"/>
    <d v="2026-01-08T00:00:00"/>
    <m/>
    <x v="1"/>
    <m/>
    <m/>
    <m/>
  </r>
  <r>
    <s v="DB Schema - Dashboard"/>
    <s v="DB Schema - Dashboard"/>
    <x v="1"/>
    <s v="Dashboard"/>
    <m/>
    <x v="1"/>
    <d v="2026-01-02T00:00:00"/>
    <d v="2025-01-06T00:00:00"/>
    <d v="2025-01-06T00:00:00"/>
    <x v="0"/>
    <m/>
    <m/>
    <m/>
  </r>
  <r>
    <s v="DB Schema - Study Management"/>
    <s v="DB Schema - Study Management"/>
    <x v="1"/>
    <s v="Study Management"/>
    <m/>
    <x v="1"/>
    <d v="2026-01-06T00:00:00"/>
    <d v="2026-01-07T00:00:00"/>
    <m/>
    <x v="1"/>
    <m/>
    <m/>
    <m/>
  </r>
  <r>
    <s v="DB Schema - Data Integration"/>
    <s v="DB Schema - Data Integration"/>
    <x v="1"/>
    <s v="Data Integration"/>
    <m/>
    <x v="2"/>
    <d v="2026-01-05T00:00:00"/>
    <d v="2026-01-06T00:00:00"/>
    <d v="2026-01-06T00:00:00"/>
    <x v="0"/>
    <m/>
    <m/>
    <m/>
  </r>
  <r>
    <s v="DB Schema - Trail Data Management"/>
    <s v="DB Schema - Trail Data Management"/>
    <x v="1"/>
    <s v="Trail Data Management"/>
    <m/>
    <x v="1"/>
    <d v="2026-01-06T00:00:00"/>
    <d v="2026-01-07T00:00:00"/>
    <m/>
    <x v="1"/>
    <m/>
    <m/>
    <m/>
  </r>
  <r>
    <s v="DB Schema - DataManager.AI"/>
    <s v="DB Schema - DataManager.AI"/>
    <x v="1"/>
    <s v="Data Manager.AI"/>
    <m/>
    <x v="3"/>
    <d v="2026-01-06T00:00:00"/>
    <d v="2026-01-07T00:00:00"/>
    <m/>
    <x v="1"/>
    <m/>
    <m/>
    <m/>
  </r>
  <r>
    <s v="Populate Trail Data into PostgreSQL"/>
    <s v="Populate Trail Data into PostgreSQL"/>
    <x v="1"/>
    <s v="Trail Data Management"/>
    <s v="Populate EDC Data(DM,SV,DS,AE...) into PostgreSQL"/>
    <x v="4"/>
    <d v="2026-01-08T00:00:00"/>
    <d v="2026-01-09T00:00:00"/>
    <m/>
    <x v="1"/>
    <m/>
    <m/>
    <m/>
  </r>
  <r>
    <s v="Study Management - CRUD - DB"/>
    <s v="Study Management - CRUD - DB"/>
    <x v="2"/>
    <s v="Study Management"/>
    <s v="User should be able to create new studies, sites,studycontacts, vendors, documents."/>
    <x v="5"/>
    <m/>
    <m/>
    <m/>
    <x v="1"/>
    <m/>
    <m/>
    <m/>
  </r>
  <r>
    <s v="Creating and Integrate PostgreSQL DBs"/>
    <s v="Creating and Integrate PostgreSQL DBs"/>
    <x v="2"/>
    <s v="Data Integration"/>
    <m/>
    <x v="5"/>
    <m/>
    <m/>
    <m/>
    <x v="2"/>
    <m/>
    <m/>
    <m/>
  </r>
  <r>
    <s v="Make Refresh, Pause, Actions - Dynamic"/>
    <s v="Make Refresh, Pause, Actions - Dynamic"/>
    <x v="2"/>
    <s v="Data Integration"/>
    <m/>
    <x v="5"/>
    <m/>
    <m/>
    <m/>
    <x v="2"/>
    <m/>
    <m/>
    <m/>
  </r>
  <r>
    <s v="Scheduler"/>
    <s v="Scheduler"/>
    <x v="2"/>
    <s v="Data Integration"/>
    <m/>
    <x v="2"/>
    <m/>
    <m/>
    <m/>
    <x v="2"/>
    <m/>
    <m/>
    <m/>
  </r>
  <r>
    <s v="Integrate Integration Logs"/>
    <s v="Integrate Integration Logs"/>
    <x v="2"/>
    <s v="Data Integration"/>
    <m/>
    <x v="5"/>
    <m/>
    <m/>
    <m/>
    <x v="2"/>
    <m/>
    <m/>
    <m/>
  </r>
  <r>
    <s v="Build Data Quality Checks Agent"/>
    <s v="Build Data Quality Checks Agent"/>
    <x v="2"/>
    <s v="Data Manager.AI"/>
    <m/>
    <x v="6"/>
    <m/>
    <m/>
    <m/>
    <x v="2"/>
    <m/>
    <m/>
    <m/>
  </r>
  <r>
    <s v="Build Reconcilation Agent"/>
    <s v="Build Reconcilation Agent"/>
    <x v="2"/>
    <s v="Data Manager.AI"/>
    <m/>
    <x v="6"/>
    <m/>
    <m/>
    <m/>
    <x v="2"/>
    <m/>
    <m/>
    <m/>
  </r>
  <r>
    <s v="Data Fetch Agent"/>
    <s v="Data Fetch Agent"/>
    <x v="2"/>
    <s v="Data Manager.AI"/>
    <m/>
    <x v="6"/>
    <m/>
    <m/>
    <m/>
    <x v="2"/>
    <m/>
    <m/>
    <m/>
  </r>
  <r>
    <s v="DQ Processing Agent"/>
    <s v="DQ Processing Agent"/>
    <x v="2"/>
    <s v="Data Manager.AI"/>
    <m/>
    <x v="6"/>
    <m/>
    <m/>
    <m/>
    <x v="2"/>
    <m/>
    <m/>
    <m/>
  </r>
  <r>
    <s v="Protocol Check Agent"/>
    <s v="Protocol Check Agent"/>
    <x v="2"/>
    <s v="Data Manager.AI"/>
    <m/>
    <x v="6"/>
    <m/>
    <m/>
    <m/>
    <x v="2"/>
    <m/>
    <m/>
    <m/>
  </r>
  <r>
    <s v="Task Manager Agent"/>
    <s v="Task Manager Agent"/>
    <x v="2"/>
    <s v="Data Manager.AI"/>
    <m/>
    <x v="6"/>
    <m/>
    <m/>
    <m/>
    <x v="2"/>
    <m/>
    <m/>
    <m/>
  </r>
  <r>
    <s v="Test Study Management"/>
    <s v="Test Study Management"/>
    <x v="2"/>
    <s v="Study Management"/>
    <m/>
    <x v="1"/>
    <m/>
    <m/>
    <m/>
    <x v="2"/>
    <m/>
    <m/>
    <m/>
  </r>
  <r>
    <s v="Test Data Integration"/>
    <s v="Test Data Integration"/>
    <x v="2"/>
    <s v="Data Integration"/>
    <m/>
    <x v="1"/>
    <m/>
    <m/>
    <m/>
    <x v="2"/>
    <m/>
    <m/>
    <m/>
  </r>
  <r>
    <s v="Test Trail Data Management"/>
    <s v="Test Trail Data Management"/>
    <x v="2"/>
    <s v="Trail Data Management"/>
    <m/>
    <x v="1"/>
    <m/>
    <m/>
    <m/>
    <x v="2"/>
    <m/>
    <m/>
    <m/>
  </r>
  <r>
    <s v="Test Data Manager.AI"/>
    <s v="Test Data Manager.AI"/>
    <x v="2"/>
    <s v="Data Manager.AI"/>
    <m/>
    <x v="1"/>
    <m/>
    <m/>
    <m/>
    <x v="2"/>
    <m/>
    <m/>
    <m/>
  </r>
  <r>
    <s v="Maintain Complete Workflow "/>
    <s v="Maintain Complete Workflow "/>
    <x v="2"/>
    <s v="Data Manager.AI"/>
    <m/>
    <x v="1"/>
    <m/>
    <m/>
    <m/>
    <x v="2"/>
    <m/>
    <m/>
    <m/>
  </r>
  <r>
    <s v="Real-Time Monitoring"/>
    <s v="Real-Time Monitoring"/>
    <x v="2"/>
    <s v="Data Integration"/>
    <m/>
    <x v="7"/>
    <m/>
    <m/>
    <m/>
    <x v="2"/>
    <m/>
    <m/>
    <m/>
  </r>
  <r>
    <s v="Monitor.ai/Notifications"/>
    <s v="Monitor.ai/Notifications"/>
    <x v="2"/>
    <s v="Data Integration"/>
    <m/>
    <x v="8"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AF2DC-C59F-4B22-86BA-2D69B52E60BD}" name="PivotTable1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8" firstHeaderRow="1" firstDataRow="2" firstDataCol="1"/>
  <pivotFields count="13">
    <pivotField compact="0" outline="0" showAll="0"/>
    <pivotField compact="0" outline="0" showAll="0">
      <items count="31">
        <item x="16"/>
        <item x="17"/>
        <item x="12"/>
        <item x="0"/>
        <item x="18"/>
        <item x="2"/>
        <item x="4"/>
        <item x="5"/>
        <item x="7"/>
        <item x="9"/>
        <item x="6"/>
        <item x="8"/>
        <item x="19"/>
        <item x="15"/>
        <item x="26"/>
        <item x="13"/>
        <item x="28"/>
        <item x="10"/>
        <item x="20"/>
        <item x="27"/>
        <item x="14"/>
        <item x="1"/>
        <item x="11"/>
        <item x="21"/>
        <item x="23"/>
        <item x="25"/>
        <item x="22"/>
        <item x="24"/>
        <item x="3"/>
        <item x="29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u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A9B00-62A2-4B3C-8A2F-F86479BDB8DB}" name="PivotTable2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2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10">
        <item x="7"/>
        <item x="0"/>
        <item x="2"/>
        <item x="8"/>
        <item x="3"/>
        <item x="5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 v="6"/>
    </i>
    <i>
      <x v="8"/>
    </i>
    <i>
      <x v="1"/>
    </i>
    <i>
      <x v="5"/>
    </i>
    <i>
      <x v="2"/>
    </i>
    <i>
      <x v="7"/>
    </i>
    <i>
      <x/>
    </i>
    <i>
      <x v="3"/>
    </i>
    <i>
      <x v="4"/>
    </i>
    <i t="grand">
      <x/>
    </i>
  </rowItems>
  <colItems count="1">
    <i/>
  </colItems>
  <dataFields count="1">
    <dataField name="Count of Assigned 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CA919-3233-4956-902B-AE80F3FC6BA5}" name="PivotTable3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13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10">
        <item x="7"/>
        <item x="0"/>
        <item x="2"/>
        <item x="8"/>
        <item x="3"/>
        <item x="5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Col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5"/>
  </rowFields>
  <rowItems count="10">
    <i>
      <x v="6"/>
    </i>
    <i>
      <x v="8"/>
    </i>
    <i>
      <x v="1"/>
    </i>
    <i>
      <x v="5"/>
    </i>
    <i>
      <x v="2"/>
    </i>
    <i>
      <x v="7"/>
    </i>
    <i>
      <x/>
    </i>
    <i>
      <x v="3"/>
    </i>
    <i>
      <x v="4"/>
    </i>
    <i t="grand">
      <x/>
    </i>
  </rowItems>
  <colFields count="1">
    <field x="9"/>
  </colFields>
  <colItems count="4">
    <i>
      <x v="2"/>
    </i>
    <i>
      <x v="1"/>
    </i>
    <i>
      <x/>
    </i>
    <i t="grand">
      <x/>
    </i>
  </colItems>
  <dataFields count="1">
    <dataField name="Count of Assigned 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FEFED-ABAE-4A6A-BA57-2F39A1D0F70D}" name="PivotTable4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18" firstHeaderRow="1" firstDataRow="2" firstDataCol="2"/>
  <pivotFields count="13">
    <pivotField compact="0" outline="0" showAll="0"/>
    <pivotField compact="0" outline="0" showAll="0"/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0">
        <item x="7"/>
        <item x="0"/>
        <item x="2"/>
        <item x="8"/>
        <item x="3"/>
        <item x="5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Col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2">
    <field x="2"/>
    <field x="5"/>
  </rowFields>
  <rowItems count="15">
    <i>
      <x/>
      <x v="8"/>
    </i>
    <i r="1">
      <x v="6"/>
    </i>
    <i r="1">
      <x v="5"/>
    </i>
    <i r="1">
      <x v="2"/>
    </i>
    <i r="1">
      <x/>
    </i>
    <i r="1">
      <x v="3"/>
    </i>
    <i t="default">
      <x/>
    </i>
    <i>
      <x v="1"/>
      <x v="6"/>
    </i>
    <i r="1">
      <x v="7"/>
    </i>
    <i r="1">
      <x v="2"/>
    </i>
    <i r="1">
      <x v="4"/>
    </i>
    <i t="default">
      <x v="1"/>
    </i>
    <i>
      <x v="2"/>
      <x v="1"/>
    </i>
    <i t="default">
      <x v="2"/>
    </i>
    <i t="grand">
      <x/>
    </i>
  </rowItems>
  <colFields count="1">
    <field x="9"/>
  </colFields>
  <colItems count="4">
    <i>
      <x v="2"/>
    </i>
    <i>
      <x v="1"/>
    </i>
    <i>
      <x/>
    </i>
    <i t="grand">
      <x/>
    </i>
  </colItems>
  <dataFields count="1">
    <dataField name="Count of Tasks 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defaultRowHeight="14.45"/>
  <cols>
    <col min="1" max="1" width="28" customWidth="1"/>
    <col min="2" max="2" width="40" customWidth="1"/>
  </cols>
  <sheetData>
    <row r="1" spans="1:2">
      <c r="A1" s="1" t="s">
        <v>0</v>
      </c>
      <c r="B1" s="1" t="s">
        <v>1</v>
      </c>
    </row>
    <row r="2" spans="1:2" ht="15">
      <c r="A2" s="2" t="s">
        <v>2</v>
      </c>
      <c r="B2" s="2" t="s">
        <v>3</v>
      </c>
    </row>
    <row r="3" spans="1:2">
      <c r="A3" s="2" t="s">
        <v>4</v>
      </c>
      <c r="B3" s="2"/>
    </row>
    <row r="4" spans="1:2" ht="15">
      <c r="A4" s="2" t="s">
        <v>5</v>
      </c>
      <c r="B4" s="7">
        <v>46013</v>
      </c>
    </row>
    <row r="5" spans="1:2">
      <c r="A5" s="2" t="s">
        <v>6</v>
      </c>
      <c r="B5" s="2"/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5689-C472-4795-897F-7A81E4615867}">
  <dimension ref="A1:M30"/>
  <sheetViews>
    <sheetView topLeftCell="F1" workbookViewId="0">
      <selection activeCell="J8" sqref="J8"/>
    </sheetView>
  </sheetViews>
  <sheetFormatPr defaultRowHeight="15"/>
  <cols>
    <col min="1" max="1" width="25.7109375" customWidth="1"/>
    <col min="2" max="2" width="42.7109375" customWidth="1"/>
    <col min="3" max="3" width="21.42578125" customWidth="1"/>
    <col min="4" max="4" width="27.85546875" customWidth="1"/>
    <col min="5" max="5" width="37.28515625" customWidth="1"/>
    <col min="6" max="6" width="27.5703125" customWidth="1"/>
    <col min="7" max="7" width="22" style="33" customWidth="1"/>
    <col min="8" max="8" width="15.7109375" style="33" customWidth="1"/>
    <col min="10" max="10" width="20" customWidth="1"/>
  </cols>
  <sheetData>
    <row r="1" spans="1:13" ht="30.75">
      <c r="A1" s="20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7" t="s">
        <v>5</v>
      </c>
      <c r="H1" s="27" t="s">
        <v>17</v>
      </c>
      <c r="I1" s="20" t="s">
        <v>18</v>
      </c>
      <c r="J1" s="20" t="s">
        <v>19</v>
      </c>
      <c r="K1" s="20" t="s">
        <v>20</v>
      </c>
      <c r="L1" s="20" t="s">
        <v>21</v>
      </c>
      <c r="M1" s="20" t="s">
        <v>22</v>
      </c>
    </row>
    <row r="2" spans="1:13" s="26" customFormat="1">
      <c r="A2" s="11" t="s">
        <v>23</v>
      </c>
      <c r="B2" s="11" t="s">
        <v>23</v>
      </c>
      <c r="C2" s="11" t="s">
        <v>24</v>
      </c>
      <c r="D2" s="11" t="s">
        <v>23</v>
      </c>
      <c r="E2" s="11"/>
      <c r="F2" s="11" t="s">
        <v>25</v>
      </c>
      <c r="G2" s="28">
        <v>46024</v>
      </c>
      <c r="H2" s="28">
        <v>46027</v>
      </c>
      <c r="I2" s="28">
        <v>46027</v>
      </c>
      <c r="J2" s="11" t="s">
        <v>26</v>
      </c>
      <c r="K2" s="11"/>
      <c r="L2" s="11"/>
      <c r="M2" s="11"/>
    </row>
    <row r="3" spans="1:13" s="26" customFormat="1">
      <c r="A3" s="11" t="s">
        <v>27</v>
      </c>
      <c r="B3" s="11" t="s">
        <v>27</v>
      </c>
      <c r="C3" s="11" t="s">
        <v>24</v>
      </c>
      <c r="D3" s="11" t="s">
        <v>27</v>
      </c>
      <c r="E3" s="11"/>
      <c r="F3" s="11" t="s">
        <v>25</v>
      </c>
      <c r="G3" s="28">
        <v>46024</v>
      </c>
      <c r="H3" s="28">
        <v>46027</v>
      </c>
      <c r="I3" s="28">
        <v>46027</v>
      </c>
      <c r="J3" s="11" t="s">
        <v>26</v>
      </c>
      <c r="K3" s="11"/>
      <c r="L3" s="11"/>
      <c r="M3" s="11"/>
    </row>
    <row r="4" spans="1:13" s="22" customFormat="1">
      <c r="A4" s="21" t="s">
        <v>28</v>
      </c>
      <c r="B4" s="21" t="s">
        <v>28</v>
      </c>
      <c r="C4" s="21" t="s">
        <v>24</v>
      </c>
      <c r="D4" s="21" t="s">
        <v>28</v>
      </c>
      <c r="E4" s="21"/>
      <c r="F4" s="21" t="s">
        <v>25</v>
      </c>
      <c r="G4" s="29">
        <v>46027</v>
      </c>
      <c r="H4" s="29">
        <v>46029</v>
      </c>
      <c r="I4" s="21"/>
      <c r="J4" s="21" t="s">
        <v>29</v>
      </c>
      <c r="K4" s="21"/>
      <c r="L4" s="21"/>
      <c r="M4" s="21"/>
    </row>
    <row r="5" spans="1:13" s="22" customFormat="1">
      <c r="A5" s="21" t="s">
        <v>30</v>
      </c>
      <c r="B5" s="21" t="s">
        <v>30</v>
      </c>
      <c r="C5" s="21" t="s">
        <v>24</v>
      </c>
      <c r="D5" s="21" t="s">
        <v>30</v>
      </c>
      <c r="E5" s="21"/>
      <c r="F5" s="21" t="s">
        <v>25</v>
      </c>
      <c r="G5" s="29">
        <v>46027</v>
      </c>
      <c r="H5" s="29">
        <v>46030</v>
      </c>
      <c r="I5" s="21"/>
      <c r="J5" s="21" t="s">
        <v>29</v>
      </c>
      <c r="K5" s="21"/>
      <c r="L5" s="21"/>
      <c r="M5" s="21"/>
    </row>
    <row r="6" spans="1:13" s="22" customFormat="1">
      <c r="A6" s="21" t="s">
        <v>31</v>
      </c>
      <c r="B6" s="21" t="s">
        <v>31</v>
      </c>
      <c r="C6" s="21" t="s">
        <v>24</v>
      </c>
      <c r="D6" s="21" t="s">
        <v>31</v>
      </c>
      <c r="E6" s="21"/>
      <c r="F6" s="21" t="s">
        <v>25</v>
      </c>
      <c r="G6" s="29">
        <v>46027</v>
      </c>
      <c r="H6" s="29">
        <v>46030</v>
      </c>
      <c r="I6" s="21"/>
      <c r="J6" s="21" t="s">
        <v>29</v>
      </c>
      <c r="K6" s="21"/>
      <c r="L6" s="21"/>
      <c r="M6" s="21"/>
    </row>
    <row r="7" spans="1:13" s="26" customFormat="1">
      <c r="A7" s="11" t="s">
        <v>32</v>
      </c>
      <c r="B7" s="11" t="s">
        <v>32</v>
      </c>
      <c r="C7" s="11" t="s">
        <v>33</v>
      </c>
      <c r="D7" s="11" t="s">
        <v>23</v>
      </c>
      <c r="E7" s="11"/>
      <c r="F7" s="11" t="s">
        <v>34</v>
      </c>
      <c r="G7" s="28">
        <v>46024</v>
      </c>
      <c r="H7" s="28">
        <v>45663</v>
      </c>
      <c r="I7" s="28">
        <v>45663</v>
      </c>
      <c r="J7" s="11" t="s">
        <v>26</v>
      </c>
      <c r="K7" s="11"/>
      <c r="L7" s="11"/>
      <c r="M7" s="11"/>
    </row>
    <row r="8" spans="1:13" s="22" customFormat="1">
      <c r="A8" s="21" t="s">
        <v>35</v>
      </c>
      <c r="B8" s="21" t="s">
        <v>35</v>
      </c>
      <c r="C8" s="23" t="s">
        <v>33</v>
      </c>
      <c r="D8" s="21" t="s">
        <v>27</v>
      </c>
      <c r="E8" s="21"/>
      <c r="F8" s="21" t="s">
        <v>34</v>
      </c>
      <c r="G8" s="29">
        <v>46028</v>
      </c>
      <c r="H8" s="29">
        <v>46029</v>
      </c>
      <c r="I8" s="21"/>
      <c r="J8" s="21" t="s">
        <v>29</v>
      </c>
      <c r="K8" s="21"/>
      <c r="L8" s="21"/>
      <c r="M8" s="21"/>
    </row>
    <row r="9" spans="1:13" s="26" customFormat="1">
      <c r="A9" s="11" t="s">
        <v>36</v>
      </c>
      <c r="B9" s="11" t="s">
        <v>36</v>
      </c>
      <c r="C9" s="11" t="s">
        <v>33</v>
      </c>
      <c r="D9" s="11" t="s">
        <v>28</v>
      </c>
      <c r="E9" s="11"/>
      <c r="F9" s="11" t="s">
        <v>37</v>
      </c>
      <c r="G9" s="30">
        <v>46027</v>
      </c>
      <c r="H9" s="28">
        <v>46028</v>
      </c>
      <c r="I9" s="28">
        <v>46028</v>
      </c>
      <c r="J9" s="11" t="s">
        <v>26</v>
      </c>
      <c r="K9" s="11"/>
      <c r="L9" s="11"/>
      <c r="M9" s="11"/>
    </row>
    <row r="10" spans="1:13" s="22" customFormat="1">
      <c r="A10" s="21" t="s">
        <v>38</v>
      </c>
      <c r="B10" s="21" t="s">
        <v>38</v>
      </c>
      <c r="C10" s="21" t="s">
        <v>33</v>
      </c>
      <c r="D10" s="21" t="s">
        <v>30</v>
      </c>
      <c r="E10" s="21"/>
      <c r="F10" s="21" t="s">
        <v>34</v>
      </c>
      <c r="G10" s="31">
        <v>46028</v>
      </c>
      <c r="H10" s="29">
        <v>46029</v>
      </c>
      <c r="I10" s="21"/>
      <c r="J10" s="21" t="s">
        <v>29</v>
      </c>
      <c r="K10" s="21"/>
      <c r="L10" s="21"/>
      <c r="M10" s="21"/>
    </row>
    <row r="11" spans="1:13" s="22" customFormat="1">
      <c r="A11" s="21" t="s">
        <v>39</v>
      </c>
      <c r="B11" s="21" t="s">
        <v>39</v>
      </c>
      <c r="C11" s="21" t="s">
        <v>33</v>
      </c>
      <c r="D11" s="21" t="s">
        <v>31</v>
      </c>
      <c r="E11" s="21"/>
      <c r="F11" s="21" t="s">
        <v>40</v>
      </c>
      <c r="G11" s="31">
        <v>46028</v>
      </c>
      <c r="H11" s="29">
        <v>46029</v>
      </c>
      <c r="I11" s="21"/>
      <c r="J11" s="21" t="s">
        <v>29</v>
      </c>
      <c r="K11" s="21"/>
      <c r="L11" s="21"/>
      <c r="M11" s="21"/>
    </row>
    <row r="12" spans="1:13">
      <c r="A12" s="21" t="s">
        <v>41</v>
      </c>
      <c r="B12" s="21" t="s">
        <v>41</v>
      </c>
      <c r="C12" s="21" t="s">
        <v>33</v>
      </c>
      <c r="D12" s="21" t="s">
        <v>30</v>
      </c>
      <c r="E12" s="21" t="s">
        <v>42</v>
      </c>
      <c r="F12" s="21" t="s">
        <v>43</v>
      </c>
      <c r="G12" s="29">
        <v>46030</v>
      </c>
      <c r="H12" s="29">
        <v>46031</v>
      </c>
      <c r="I12" s="21"/>
      <c r="J12" s="21" t="s">
        <v>29</v>
      </c>
      <c r="K12" s="21"/>
      <c r="L12" s="21"/>
      <c r="M12" s="21"/>
    </row>
    <row r="13" spans="1:13" s="22" customFormat="1">
      <c r="A13" s="21" t="s">
        <v>44</v>
      </c>
      <c r="B13" s="21" t="s">
        <v>44</v>
      </c>
      <c r="C13" s="21" t="s">
        <v>45</v>
      </c>
      <c r="D13" s="21" t="s">
        <v>27</v>
      </c>
      <c r="E13" s="21" t="s">
        <v>46</v>
      </c>
      <c r="F13" s="21" t="s">
        <v>47</v>
      </c>
      <c r="G13" s="29"/>
      <c r="H13" s="29"/>
      <c r="I13" s="21"/>
      <c r="J13" s="21" t="s">
        <v>29</v>
      </c>
      <c r="K13" s="21"/>
      <c r="L13" s="21"/>
      <c r="M13" s="21"/>
    </row>
    <row r="14" spans="1:13" s="26" customFormat="1">
      <c r="A14" s="11" t="s">
        <v>48</v>
      </c>
      <c r="B14" s="11" t="s">
        <v>48</v>
      </c>
      <c r="C14" s="11" t="s">
        <v>45</v>
      </c>
      <c r="D14" s="11" t="s">
        <v>28</v>
      </c>
      <c r="E14" s="11"/>
      <c r="F14" s="11" t="s">
        <v>47</v>
      </c>
      <c r="G14" s="28"/>
      <c r="H14" s="28"/>
      <c r="I14" s="11"/>
      <c r="J14" s="11" t="s">
        <v>26</v>
      </c>
      <c r="K14" s="11"/>
      <c r="L14" s="11"/>
      <c r="M14" s="11"/>
    </row>
    <row r="15" spans="1:13" s="26" customFormat="1">
      <c r="A15" s="11" t="s">
        <v>49</v>
      </c>
      <c r="B15" s="11" t="s">
        <v>49</v>
      </c>
      <c r="C15" s="11" t="s">
        <v>45</v>
      </c>
      <c r="D15" s="11" t="s">
        <v>28</v>
      </c>
      <c r="E15" s="11"/>
      <c r="F15" s="11" t="s">
        <v>47</v>
      </c>
      <c r="G15" s="28"/>
      <c r="H15" s="28"/>
      <c r="I15" s="11"/>
      <c r="J15" s="11" t="s">
        <v>26</v>
      </c>
      <c r="K15" s="11"/>
      <c r="L15" s="11"/>
      <c r="M15" s="11"/>
    </row>
    <row r="16" spans="1:13" s="26" customFormat="1">
      <c r="A16" s="11" t="s">
        <v>50</v>
      </c>
      <c r="B16" s="11" t="s">
        <v>50</v>
      </c>
      <c r="C16" s="11" t="s">
        <v>45</v>
      </c>
      <c r="D16" s="11" t="s">
        <v>28</v>
      </c>
      <c r="E16" s="11"/>
      <c r="F16" s="11" t="s">
        <v>37</v>
      </c>
      <c r="G16" s="28"/>
      <c r="H16" s="28"/>
      <c r="I16" s="11"/>
      <c r="J16" s="11" t="s">
        <v>26</v>
      </c>
      <c r="K16" s="11"/>
      <c r="L16" s="11"/>
      <c r="M16" s="11"/>
    </row>
    <row r="17" spans="1:13" s="25" customFormat="1">
      <c r="A17" s="24" t="s">
        <v>51</v>
      </c>
      <c r="B17" s="24" t="s">
        <v>51</v>
      </c>
      <c r="C17" s="24" t="s">
        <v>45</v>
      </c>
      <c r="D17" s="24" t="s">
        <v>28</v>
      </c>
      <c r="E17" s="24"/>
      <c r="F17" s="24" t="s">
        <v>47</v>
      </c>
      <c r="G17" s="32"/>
      <c r="H17" s="32"/>
      <c r="I17" s="24"/>
      <c r="J17" s="24" t="s">
        <v>52</v>
      </c>
      <c r="K17" s="24"/>
      <c r="L17" s="24"/>
      <c r="M17" s="24"/>
    </row>
    <row r="18" spans="1:13" s="25" customFormat="1">
      <c r="A18" s="24" t="s">
        <v>53</v>
      </c>
      <c r="B18" s="24" t="s">
        <v>53</v>
      </c>
      <c r="C18" s="24" t="s">
        <v>45</v>
      </c>
      <c r="D18" s="24" t="s">
        <v>31</v>
      </c>
      <c r="E18" s="24"/>
      <c r="F18" s="24" t="s">
        <v>54</v>
      </c>
      <c r="G18" s="32"/>
      <c r="H18" s="32"/>
      <c r="I18" s="24"/>
      <c r="J18" s="24" t="s">
        <v>52</v>
      </c>
      <c r="K18" s="24"/>
      <c r="L18" s="24"/>
      <c r="M18" s="24"/>
    </row>
    <row r="19" spans="1:13" s="25" customFormat="1">
      <c r="A19" s="24" t="s">
        <v>55</v>
      </c>
      <c r="B19" s="24" t="s">
        <v>55</v>
      </c>
      <c r="C19" s="24" t="s">
        <v>45</v>
      </c>
      <c r="D19" s="24" t="s">
        <v>31</v>
      </c>
      <c r="E19" s="24"/>
      <c r="F19" s="24" t="s">
        <v>54</v>
      </c>
      <c r="G19" s="32"/>
      <c r="H19" s="32"/>
      <c r="I19" s="24"/>
      <c r="J19" s="24" t="s">
        <v>52</v>
      </c>
      <c r="K19" s="24"/>
      <c r="L19" s="24"/>
      <c r="M19" s="24"/>
    </row>
    <row r="20" spans="1:13" s="25" customFormat="1">
      <c r="A20" s="24" t="s">
        <v>56</v>
      </c>
      <c r="B20" s="24" t="s">
        <v>56</v>
      </c>
      <c r="C20" s="24" t="s">
        <v>45</v>
      </c>
      <c r="D20" s="24" t="s">
        <v>31</v>
      </c>
      <c r="E20" s="24"/>
      <c r="F20" s="24" t="s">
        <v>54</v>
      </c>
      <c r="G20" s="32"/>
      <c r="H20" s="32"/>
      <c r="I20" s="24"/>
      <c r="J20" s="24" t="s">
        <v>52</v>
      </c>
      <c r="K20" s="24"/>
      <c r="L20" s="24"/>
      <c r="M20" s="24"/>
    </row>
    <row r="21" spans="1:13" s="25" customFormat="1">
      <c r="A21" s="24" t="s">
        <v>57</v>
      </c>
      <c r="B21" s="24" t="s">
        <v>57</v>
      </c>
      <c r="C21" s="24" t="s">
        <v>45</v>
      </c>
      <c r="D21" s="24" t="s">
        <v>31</v>
      </c>
      <c r="E21" s="24"/>
      <c r="F21" s="24" t="s">
        <v>54</v>
      </c>
      <c r="G21" s="32"/>
      <c r="H21" s="32"/>
      <c r="I21" s="24"/>
      <c r="J21" s="24" t="s">
        <v>52</v>
      </c>
      <c r="K21" s="24"/>
      <c r="L21" s="24"/>
      <c r="M21" s="24"/>
    </row>
    <row r="22" spans="1:13" s="25" customFormat="1">
      <c r="A22" s="24" t="s">
        <v>58</v>
      </c>
      <c r="B22" s="24" t="s">
        <v>58</v>
      </c>
      <c r="C22" s="24" t="s">
        <v>45</v>
      </c>
      <c r="D22" s="24" t="s">
        <v>31</v>
      </c>
      <c r="E22" s="24"/>
      <c r="F22" s="24" t="s">
        <v>54</v>
      </c>
      <c r="G22" s="32"/>
      <c r="H22" s="32"/>
      <c r="I22" s="24"/>
      <c r="J22" s="24" t="s">
        <v>52</v>
      </c>
      <c r="K22" s="24"/>
      <c r="L22" s="24"/>
      <c r="M22" s="24"/>
    </row>
    <row r="23" spans="1:13" s="25" customFormat="1">
      <c r="A23" s="24" t="s">
        <v>59</v>
      </c>
      <c r="B23" s="24" t="s">
        <v>59</v>
      </c>
      <c r="C23" s="24" t="s">
        <v>45</v>
      </c>
      <c r="D23" s="24" t="s">
        <v>31</v>
      </c>
      <c r="E23" s="24"/>
      <c r="F23" s="24" t="s">
        <v>54</v>
      </c>
      <c r="G23" s="32"/>
      <c r="H23" s="32"/>
      <c r="I23" s="24"/>
      <c r="J23" s="24" t="s">
        <v>52</v>
      </c>
      <c r="K23" s="24"/>
      <c r="L23" s="24"/>
      <c r="M23" s="24"/>
    </row>
    <row r="24" spans="1:13" s="25" customFormat="1">
      <c r="A24" s="24" t="s">
        <v>60</v>
      </c>
      <c r="B24" s="24" t="s">
        <v>60</v>
      </c>
      <c r="C24" s="24" t="s">
        <v>45</v>
      </c>
      <c r="D24" s="24" t="s">
        <v>27</v>
      </c>
      <c r="E24" s="24"/>
      <c r="F24" s="24" t="s">
        <v>34</v>
      </c>
      <c r="G24" s="32"/>
      <c r="H24" s="32"/>
      <c r="I24" s="24"/>
      <c r="J24" s="24" t="s">
        <v>52</v>
      </c>
      <c r="K24" s="24"/>
      <c r="L24" s="24"/>
      <c r="M24" s="24"/>
    </row>
    <row r="25" spans="1:13" s="25" customFormat="1">
      <c r="A25" s="24" t="s">
        <v>61</v>
      </c>
      <c r="B25" s="24" t="s">
        <v>61</v>
      </c>
      <c r="C25" s="24" t="s">
        <v>45</v>
      </c>
      <c r="D25" s="24" t="s">
        <v>28</v>
      </c>
      <c r="E25" s="24"/>
      <c r="F25" s="24" t="s">
        <v>34</v>
      </c>
      <c r="G25" s="32"/>
      <c r="H25" s="32"/>
      <c r="I25" s="24"/>
      <c r="J25" s="24" t="s">
        <v>52</v>
      </c>
      <c r="K25" s="24"/>
      <c r="L25" s="24"/>
      <c r="M25" s="24"/>
    </row>
    <row r="26" spans="1:13" s="25" customFormat="1">
      <c r="A26" s="24" t="s">
        <v>62</v>
      </c>
      <c r="B26" s="24" t="s">
        <v>62</v>
      </c>
      <c r="C26" s="24" t="s">
        <v>45</v>
      </c>
      <c r="D26" s="24" t="s">
        <v>30</v>
      </c>
      <c r="E26" s="24"/>
      <c r="F26" s="24" t="s">
        <v>34</v>
      </c>
      <c r="G26" s="32"/>
      <c r="H26" s="32"/>
      <c r="I26" s="24"/>
      <c r="J26" s="24" t="s">
        <v>52</v>
      </c>
      <c r="K26" s="24"/>
      <c r="L26" s="24"/>
      <c r="M26" s="24"/>
    </row>
    <row r="27" spans="1:13" s="25" customFormat="1">
      <c r="A27" s="24" t="s">
        <v>63</v>
      </c>
      <c r="B27" s="24" t="s">
        <v>63</v>
      </c>
      <c r="C27" s="24" t="s">
        <v>45</v>
      </c>
      <c r="D27" s="24" t="s">
        <v>31</v>
      </c>
      <c r="E27" s="24"/>
      <c r="F27" s="24" t="s">
        <v>34</v>
      </c>
      <c r="G27" s="32"/>
      <c r="H27" s="32"/>
      <c r="I27" s="24"/>
      <c r="J27" s="24" t="s">
        <v>52</v>
      </c>
      <c r="K27" s="24"/>
      <c r="L27" s="24"/>
      <c r="M27" s="24"/>
    </row>
    <row r="28" spans="1:13" s="25" customFormat="1">
      <c r="A28" s="24" t="s">
        <v>64</v>
      </c>
      <c r="B28" s="24" t="s">
        <v>64</v>
      </c>
      <c r="C28" s="24" t="s">
        <v>45</v>
      </c>
      <c r="D28" s="24" t="s">
        <v>31</v>
      </c>
      <c r="E28" s="24"/>
      <c r="F28" s="24" t="s">
        <v>34</v>
      </c>
      <c r="G28" s="32"/>
      <c r="H28" s="32"/>
      <c r="I28" s="24"/>
      <c r="J28" s="24" t="s">
        <v>52</v>
      </c>
      <c r="K28" s="24"/>
      <c r="L28" s="24"/>
      <c r="M28" s="24"/>
    </row>
    <row r="29" spans="1:13" s="25" customFormat="1">
      <c r="A29" s="24" t="s">
        <v>65</v>
      </c>
      <c r="B29" s="24" t="s">
        <v>65</v>
      </c>
      <c r="C29" s="24" t="s">
        <v>45</v>
      </c>
      <c r="D29" s="24" t="s">
        <v>28</v>
      </c>
      <c r="E29" s="24"/>
      <c r="F29" s="24" t="s">
        <v>66</v>
      </c>
      <c r="G29" s="32"/>
      <c r="H29" s="32"/>
      <c r="I29" s="24"/>
      <c r="J29" s="24" t="s">
        <v>52</v>
      </c>
      <c r="K29" s="24"/>
      <c r="L29" s="24"/>
      <c r="M29" s="24"/>
    </row>
    <row r="30" spans="1:13" s="25" customFormat="1">
      <c r="A30" s="24" t="s">
        <v>67</v>
      </c>
      <c r="B30" s="24" t="s">
        <v>67</v>
      </c>
      <c r="C30" s="24" t="s">
        <v>45</v>
      </c>
      <c r="D30" s="24" t="s">
        <v>28</v>
      </c>
      <c r="E30" s="24"/>
      <c r="F30" s="24" t="s">
        <v>68</v>
      </c>
      <c r="G30" s="32"/>
      <c r="H30" s="32"/>
      <c r="I30" s="24"/>
      <c r="J30" s="24" t="s">
        <v>52</v>
      </c>
      <c r="K30" s="24"/>
      <c r="L30" s="24"/>
      <c r="M30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"/>
  <sheetViews>
    <sheetView workbookViewId="0">
      <pane ySplit="1" topLeftCell="A2" activePane="bottomLeft" state="frozen"/>
      <selection pane="bottomLeft" activeCell="A22" sqref="A22"/>
    </sheetView>
  </sheetViews>
  <sheetFormatPr defaultRowHeight="14.45"/>
  <cols>
    <col min="1" max="1" width="43.42578125" customWidth="1"/>
    <col min="2" max="2" width="18" customWidth="1"/>
    <col min="3" max="3" width="16" style="14" customWidth="1"/>
    <col min="4" max="4" width="16" customWidth="1"/>
    <col min="5" max="5" width="14" customWidth="1"/>
    <col min="6" max="6" width="30" customWidth="1"/>
  </cols>
  <sheetData>
    <row r="1" spans="1:6" ht="15">
      <c r="A1" s="3" t="s">
        <v>69</v>
      </c>
      <c r="B1" s="3" t="s">
        <v>4</v>
      </c>
      <c r="C1" s="12" t="s">
        <v>17</v>
      </c>
      <c r="D1" s="3" t="s">
        <v>70</v>
      </c>
      <c r="E1" s="3" t="s">
        <v>19</v>
      </c>
      <c r="F1" s="3" t="s">
        <v>22</v>
      </c>
    </row>
    <row r="2" spans="1:6">
      <c r="A2" s="4" t="s">
        <v>71</v>
      </c>
      <c r="B2" s="4"/>
      <c r="C2" s="13"/>
      <c r="D2" s="5"/>
      <c r="E2" s="4"/>
      <c r="F2" s="4"/>
    </row>
    <row r="3" spans="1:6">
      <c r="A3" s="4" t="s">
        <v>72</v>
      </c>
      <c r="B3" s="4"/>
      <c r="C3" s="13"/>
      <c r="D3" s="5"/>
      <c r="E3" s="4"/>
      <c r="F3" s="4"/>
    </row>
    <row r="4" spans="1:6">
      <c r="A4" s="4" t="s">
        <v>71</v>
      </c>
      <c r="B4" s="4"/>
      <c r="C4" s="13"/>
      <c r="D4" s="5"/>
      <c r="E4" s="4"/>
      <c r="F4" s="4"/>
    </row>
    <row r="5" spans="1:6">
      <c r="A5" s="4" t="s">
        <v>33</v>
      </c>
      <c r="B5" s="4"/>
      <c r="C5" s="13"/>
      <c r="D5" s="5"/>
      <c r="E5" s="4"/>
      <c r="F5" s="4"/>
    </row>
    <row r="6" spans="1:6">
      <c r="A6" s="4" t="s">
        <v>73</v>
      </c>
      <c r="B6" s="4"/>
      <c r="C6" s="13"/>
      <c r="D6" s="5"/>
      <c r="E6" s="4"/>
      <c r="F6" s="4"/>
    </row>
    <row r="7" spans="1:6">
      <c r="A7" s="4" t="s">
        <v>74</v>
      </c>
      <c r="B7" s="4"/>
      <c r="C7" s="13"/>
      <c r="D7" s="5"/>
      <c r="E7" s="4"/>
      <c r="F7" s="4"/>
    </row>
    <row r="8" spans="1:6">
      <c r="A8" s="17" t="s">
        <v>75</v>
      </c>
      <c r="B8" s="17" t="s">
        <v>76</v>
      </c>
      <c r="C8" s="13"/>
      <c r="D8" s="5"/>
      <c r="E8" s="4"/>
      <c r="F8" s="4"/>
    </row>
    <row r="9" spans="1:6">
      <c r="A9" s="4" t="s">
        <v>77</v>
      </c>
      <c r="B9" s="4" t="s">
        <v>78</v>
      </c>
      <c r="C9" s="13"/>
      <c r="D9" s="5"/>
      <c r="E9" s="4" t="s">
        <v>52</v>
      </c>
      <c r="F9" s="4" t="s">
        <v>79</v>
      </c>
    </row>
    <row r="10" spans="1:6">
      <c r="A10" s="17" t="s">
        <v>80</v>
      </c>
      <c r="B10" s="4"/>
      <c r="C10" s="13"/>
      <c r="D10" s="5"/>
      <c r="E10" s="4"/>
      <c r="F10" s="4"/>
    </row>
    <row r="11" spans="1:6">
      <c r="A11" s="17" t="s">
        <v>81</v>
      </c>
      <c r="B11" s="18" t="s">
        <v>76</v>
      </c>
      <c r="C11" s="13"/>
      <c r="D11" s="5"/>
      <c r="E11" s="4"/>
      <c r="F11" s="4"/>
    </row>
    <row r="12" spans="1:6">
      <c r="A12" s="18" t="s">
        <v>82</v>
      </c>
      <c r="B12" s="18" t="s">
        <v>83</v>
      </c>
      <c r="C12" s="13" t="s">
        <v>84</v>
      </c>
      <c r="D12" s="5"/>
      <c r="E12" s="4"/>
      <c r="F12" s="4"/>
    </row>
    <row r="13" spans="1:6">
      <c r="A13" s="18" t="s">
        <v>85</v>
      </c>
      <c r="B13" s="18" t="s">
        <v>86</v>
      </c>
      <c r="C13" s="13"/>
      <c r="D13" s="5"/>
      <c r="E13" s="4"/>
      <c r="F13" s="4"/>
    </row>
    <row r="14" spans="1:6">
      <c r="A14" s="17" t="s">
        <v>87</v>
      </c>
      <c r="B14" s="17" t="s">
        <v>76</v>
      </c>
      <c r="C14" s="13"/>
      <c r="D14" s="5"/>
      <c r="E14" s="4"/>
      <c r="F14" s="4"/>
    </row>
    <row r="15" spans="1:6">
      <c r="A15" s="18" t="s">
        <v>88</v>
      </c>
      <c r="B15" s="18" t="s">
        <v>89</v>
      </c>
      <c r="C15" s="13" t="s">
        <v>90</v>
      </c>
      <c r="D15" s="5"/>
      <c r="E15" s="4"/>
      <c r="F15" s="4"/>
    </row>
    <row r="16" spans="1:6">
      <c r="A16" s="18" t="s">
        <v>91</v>
      </c>
      <c r="B16" s="18" t="s">
        <v>76</v>
      </c>
      <c r="C16" s="13" t="s">
        <v>90</v>
      </c>
      <c r="D16" s="5"/>
      <c r="E16" s="4"/>
      <c r="F16" s="4"/>
    </row>
    <row r="17" spans="1:6">
      <c r="A17" s="18" t="s">
        <v>92</v>
      </c>
      <c r="B17" s="18" t="s">
        <v>76</v>
      </c>
      <c r="C17" s="13"/>
      <c r="D17" s="5"/>
      <c r="E17" s="4"/>
      <c r="F17" s="4"/>
    </row>
    <row r="18" spans="1:6">
      <c r="A18" s="17" t="s">
        <v>93</v>
      </c>
      <c r="B18" s="4" t="s">
        <v>76</v>
      </c>
      <c r="C18" s="13"/>
      <c r="D18" s="5"/>
      <c r="E18" s="4"/>
      <c r="F18" s="4"/>
    </row>
    <row r="19" spans="1:6">
      <c r="A19" s="17" t="s">
        <v>94</v>
      </c>
      <c r="B19" s="4" t="s">
        <v>76</v>
      </c>
      <c r="C19" s="13"/>
      <c r="D19" s="5"/>
      <c r="E19" s="4"/>
      <c r="F19" s="4"/>
    </row>
    <row r="20" spans="1:6">
      <c r="A20" s="19" t="s">
        <v>95</v>
      </c>
      <c r="B20" s="4" t="s">
        <v>96</v>
      </c>
      <c r="C20" s="13" t="s">
        <v>90</v>
      </c>
      <c r="D20" s="5"/>
      <c r="E20" s="4"/>
      <c r="F20" s="4"/>
    </row>
    <row r="21" spans="1:6">
      <c r="A21" s="4"/>
      <c r="B21" s="4"/>
      <c r="C21" s="13"/>
      <c r="D21" s="5"/>
      <c r="E21" s="4"/>
      <c r="F21" s="4"/>
    </row>
    <row r="22" spans="1:6">
      <c r="A22" s="4" t="s">
        <v>97</v>
      </c>
      <c r="B22" s="4"/>
      <c r="C22" s="13"/>
      <c r="D22" s="5"/>
      <c r="E22" s="4"/>
      <c r="F22" s="4"/>
    </row>
    <row r="23" spans="1:6">
      <c r="A23" s="4" t="s">
        <v>98</v>
      </c>
      <c r="B23" s="4"/>
      <c r="C23" s="13"/>
      <c r="D23" s="5"/>
      <c r="E23" s="4"/>
      <c r="F23" s="4"/>
    </row>
    <row r="24" spans="1:6">
      <c r="A24" s="4"/>
      <c r="B24" s="4"/>
      <c r="C24" s="13"/>
      <c r="D24" s="5"/>
      <c r="E24" s="4"/>
      <c r="F24" s="4"/>
    </row>
    <row r="25" spans="1:6">
      <c r="A25" s="4"/>
      <c r="B25" s="4"/>
      <c r="C25" s="13"/>
      <c r="D25" s="5"/>
      <c r="E25" s="4"/>
      <c r="F25" s="4"/>
    </row>
    <row r="26" spans="1:6">
      <c r="A26" s="4"/>
      <c r="B26" s="4"/>
      <c r="C26" s="13"/>
      <c r="D26" s="5"/>
      <c r="E26" s="4"/>
      <c r="F26" s="4"/>
    </row>
    <row r="27" spans="1:6">
      <c r="A27" s="4"/>
      <c r="B27" s="4"/>
      <c r="C27" s="13"/>
      <c r="D27" s="5"/>
      <c r="E27" s="4"/>
      <c r="F27" s="4"/>
    </row>
    <row r="28" spans="1:6">
      <c r="A28" s="4"/>
      <c r="B28" s="4"/>
      <c r="C28" s="13"/>
      <c r="D28" s="5"/>
      <c r="E28" s="4"/>
      <c r="F28" s="4"/>
    </row>
    <row r="29" spans="1:6">
      <c r="A29" s="4"/>
      <c r="B29" s="4"/>
      <c r="C29" s="13"/>
      <c r="D29" s="5"/>
      <c r="E29" s="4"/>
      <c r="F29" s="4"/>
    </row>
    <row r="30" spans="1:6">
      <c r="A30" s="4"/>
      <c r="B30" s="4"/>
      <c r="C30" s="13"/>
      <c r="D30" s="5"/>
      <c r="E30" s="4"/>
      <c r="F30" s="4"/>
    </row>
    <row r="31" spans="1:6">
      <c r="A31" s="4"/>
      <c r="B31" s="4"/>
      <c r="C31" s="13"/>
      <c r="D31" s="5"/>
      <c r="E31" s="4"/>
      <c r="F31" s="4"/>
    </row>
    <row r="32" spans="1:6">
      <c r="A32" s="4"/>
      <c r="B32" s="4"/>
      <c r="C32" s="13"/>
      <c r="D32" s="5"/>
      <c r="E32" s="4"/>
      <c r="F32" s="4"/>
    </row>
    <row r="33" spans="1:6">
      <c r="A33" s="4"/>
      <c r="B33" s="4"/>
      <c r="C33" s="13"/>
      <c r="D33" s="5"/>
      <c r="E33" s="4"/>
      <c r="F33" s="4"/>
    </row>
    <row r="34" spans="1:6">
      <c r="A34" s="4"/>
      <c r="B34" s="4"/>
      <c r="C34" s="13"/>
      <c r="D34" s="5"/>
      <c r="E34" s="4"/>
      <c r="F34" s="4"/>
    </row>
    <row r="35" spans="1:6">
      <c r="A35" s="4"/>
      <c r="B35" s="4"/>
      <c r="C35" s="13"/>
      <c r="D35" s="5"/>
      <c r="E35" s="4"/>
      <c r="F35" s="4"/>
    </row>
    <row r="36" spans="1:6">
      <c r="A36" s="4"/>
      <c r="B36" s="4"/>
      <c r="C36" s="13"/>
      <c r="D36" s="5"/>
      <c r="E36" s="4"/>
      <c r="F36" s="4"/>
    </row>
    <row r="37" spans="1:6">
      <c r="A37" s="4"/>
      <c r="B37" s="4"/>
      <c r="C37" s="13"/>
      <c r="D37" s="5"/>
      <c r="E37" s="4"/>
      <c r="F37" s="4"/>
    </row>
    <row r="38" spans="1:6">
      <c r="A38" s="4"/>
      <c r="B38" s="4"/>
      <c r="C38" s="13"/>
      <c r="D38" s="5"/>
      <c r="E38" s="4"/>
      <c r="F38" s="4"/>
    </row>
    <row r="39" spans="1:6">
      <c r="A39" s="4"/>
      <c r="B39" s="4"/>
      <c r="C39" s="13"/>
      <c r="D39" s="5"/>
      <c r="E39" s="4"/>
      <c r="F39" s="4"/>
    </row>
    <row r="40" spans="1:6">
      <c r="A40" s="4"/>
      <c r="B40" s="4"/>
      <c r="C40" s="13"/>
      <c r="D40" s="5"/>
      <c r="E40" s="4"/>
      <c r="F40" s="4"/>
    </row>
    <row r="41" spans="1:6">
      <c r="A41" s="4"/>
      <c r="B41" s="4"/>
      <c r="C41" s="13"/>
      <c r="D41" s="5"/>
      <c r="E41" s="4"/>
      <c r="F41" s="4"/>
    </row>
    <row r="42" spans="1:6">
      <c r="A42" s="4"/>
      <c r="B42" s="4"/>
      <c r="C42" s="13"/>
      <c r="D42" s="5"/>
      <c r="E42" s="4"/>
      <c r="F42" s="4"/>
    </row>
    <row r="43" spans="1:6">
      <c r="A43" s="4"/>
      <c r="B43" s="4"/>
      <c r="C43" s="13"/>
      <c r="D43" s="5"/>
      <c r="E43" s="4"/>
      <c r="F43" s="4"/>
    </row>
    <row r="44" spans="1:6">
      <c r="A44" s="4"/>
      <c r="B44" s="4"/>
      <c r="C44" s="13"/>
      <c r="D44" s="5"/>
      <c r="E44" s="4"/>
      <c r="F44" s="4"/>
    </row>
    <row r="45" spans="1:6">
      <c r="A45" s="4"/>
      <c r="B45" s="4"/>
      <c r="C45" s="13"/>
      <c r="D45" s="5"/>
      <c r="E45" s="4"/>
      <c r="F45" s="4"/>
    </row>
    <row r="46" spans="1:6">
      <c r="A46" s="4"/>
      <c r="B46" s="4"/>
      <c r="C46" s="13"/>
      <c r="D46" s="5"/>
      <c r="E46" s="4"/>
      <c r="F46" s="4"/>
    </row>
    <row r="47" spans="1:6">
      <c r="A47" s="4"/>
      <c r="B47" s="4"/>
      <c r="C47" s="13"/>
      <c r="D47" s="5"/>
      <c r="E47" s="4"/>
      <c r="F47" s="4"/>
    </row>
    <row r="48" spans="1:6">
      <c r="A48" s="4"/>
      <c r="B48" s="4"/>
      <c r="C48" s="13"/>
      <c r="D48" s="5"/>
      <c r="E48" s="4"/>
      <c r="F48" s="4"/>
    </row>
    <row r="49" spans="1:6">
      <c r="A49" s="4"/>
      <c r="B49" s="4"/>
      <c r="C49" s="13"/>
      <c r="D49" s="5"/>
      <c r="E49" s="4"/>
      <c r="F49" s="4"/>
    </row>
    <row r="50" spans="1:6">
      <c r="A50" s="4"/>
      <c r="B50" s="4"/>
      <c r="C50" s="13"/>
      <c r="D50" s="5"/>
      <c r="E50" s="4"/>
      <c r="F50" s="4"/>
    </row>
    <row r="51" spans="1:6">
      <c r="A51" s="4"/>
      <c r="B51" s="4"/>
      <c r="C51" s="13"/>
      <c r="D51" s="5"/>
      <c r="E51" s="4"/>
      <c r="F51" s="4"/>
    </row>
    <row r="52" spans="1:6">
      <c r="A52" s="4"/>
      <c r="B52" s="4"/>
      <c r="C52" s="13"/>
      <c r="D52" s="5"/>
      <c r="E52" s="4"/>
      <c r="F52" s="4"/>
    </row>
    <row r="53" spans="1:6">
      <c r="A53" s="4"/>
      <c r="B53" s="4"/>
      <c r="C53" s="13"/>
      <c r="D53" s="5"/>
      <c r="E53" s="4"/>
      <c r="F53" s="4"/>
    </row>
    <row r="54" spans="1:6">
      <c r="A54" s="4"/>
      <c r="B54" s="4"/>
      <c r="C54" s="13"/>
      <c r="D54" s="5"/>
      <c r="E54" s="4"/>
      <c r="F54" s="4"/>
    </row>
    <row r="55" spans="1:6">
      <c r="A55" s="4"/>
      <c r="B55" s="4"/>
      <c r="C55" s="13"/>
      <c r="D55" s="5"/>
      <c r="E55" s="4"/>
      <c r="F55" s="4"/>
    </row>
    <row r="56" spans="1:6">
      <c r="A56" s="4"/>
      <c r="B56" s="4"/>
      <c r="C56" s="13"/>
      <c r="D56" s="5"/>
      <c r="E56" s="4"/>
      <c r="F56" s="4"/>
    </row>
    <row r="57" spans="1:6">
      <c r="A57" s="4"/>
      <c r="B57" s="4"/>
      <c r="C57" s="13"/>
      <c r="D57" s="5"/>
      <c r="E57" s="4"/>
      <c r="F57" s="4"/>
    </row>
    <row r="58" spans="1:6">
      <c r="A58" s="4"/>
      <c r="B58" s="4"/>
      <c r="C58" s="13"/>
      <c r="D58" s="5"/>
      <c r="E58" s="4"/>
      <c r="F58" s="4"/>
    </row>
    <row r="59" spans="1:6">
      <c r="A59" s="4"/>
      <c r="B59" s="4"/>
      <c r="C59" s="13"/>
      <c r="D59" s="5"/>
      <c r="E59" s="4"/>
      <c r="F59" s="4"/>
    </row>
    <row r="60" spans="1:6">
      <c r="A60" s="4"/>
      <c r="B60" s="4"/>
      <c r="C60" s="13"/>
      <c r="D60" s="5"/>
      <c r="E60" s="4"/>
      <c r="F60" s="4"/>
    </row>
    <row r="61" spans="1:6">
      <c r="A61" s="4"/>
      <c r="B61" s="4"/>
      <c r="C61" s="13"/>
      <c r="D61" s="5"/>
      <c r="E61" s="4"/>
      <c r="F61" s="4"/>
    </row>
    <row r="62" spans="1:6">
      <c r="A62" s="4"/>
      <c r="B62" s="4"/>
      <c r="C62" s="13"/>
      <c r="D62" s="5"/>
      <c r="E62" s="4"/>
      <c r="F62" s="4"/>
    </row>
    <row r="63" spans="1:6">
      <c r="A63" s="4"/>
      <c r="B63" s="4"/>
      <c r="C63" s="13"/>
      <c r="D63" s="5"/>
      <c r="E63" s="4"/>
      <c r="F63" s="4"/>
    </row>
    <row r="64" spans="1:6">
      <c r="A64" s="4"/>
      <c r="B64" s="4"/>
      <c r="C64" s="13"/>
      <c r="D64" s="5"/>
      <c r="E64" s="4"/>
      <c r="F64" s="4"/>
    </row>
    <row r="65" spans="1:6">
      <c r="A65" s="4"/>
      <c r="B65" s="4"/>
      <c r="C65" s="13"/>
      <c r="D65" s="5"/>
      <c r="E65" s="4"/>
      <c r="F65" s="4"/>
    </row>
    <row r="66" spans="1:6">
      <c r="A66" s="4"/>
      <c r="B66" s="4"/>
      <c r="C66" s="13"/>
      <c r="D66" s="5"/>
      <c r="E66" s="4"/>
      <c r="F66" s="4"/>
    </row>
    <row r="67" spans="1:6">
      <c r="A67" s="4"/>
      <c r="B67" s="4"/>
      <c r="C67" s="13"/>
      <c r="D67" s="5"/>
      <c r="E67" s="4"/>
      <c r="F67" s="4"/>
    </row>
    <row r="68" spans="1:6">
      <c r="A68" s="4"/>
      <c r="B68" s="4"/>
      <c r="C68" s="13"/>
      <c r="D68" s="5"/>
      <c r="E68" s="4"/>
      <c r="F68" s="4"/>
    </row>
    <row r="69" spans="1:6">
      <c r="A69" s="4"/>
      <c r="B69" s="4"/>
      <c r="C69" s="13"/>
      <c r="D69" s="5"/>
      <c r="E69" s="4"/>
      <c r="F69" s="4"/>
    </row>
    <row r="70" spans="1:6">
      <c r="A70" s="4"/>
      <c r="B70" s="4"/>
      <c r="C70" s="13"/>
      <c r="D70" s="5"/>
      <c r="E70" s="4"/>
      <c r="F70" s="4"/>
    </row>
    <row r="71" spans="1:6">
      <c r="A71" s="4"/>
      <c r="B71" s="4"/>
      <c r="C71" s="13"/>
      <c r="D71" s="5"/>
      <c r="E71" s="4"/>
      <c r="F71" s="4"/>
    </row>
    <row r="72" spans="1:6">
      <c r="A72" s="4"/>
      <c r="B72" s="4"/>
      <c r="C72" s="13"/>
      <c r="D72" s="5"/>
      <c r="E72" s="4"/>
      <c r="F72" s="4"/>
    </row>
    <row r="73" spans="1:6">
      <c r="A73" s="4"/>
      <c r="B73" s="4"/>
      <c r="C73" s="13"/>
      <c r="D73" s="5"/>
      <c r="E73" s="4"/>
      <c r="F73" s="4"/>
    </row>
    <row r="74" spans="1:6">
      <c r="A74" s="4"/>
      <c r="B74" s="4"/>
      <c r="C74" s="13"/>
      <c r="D74" s="5"/>
      <c r="E74" s="4"/>
      <c r="F74" s="4"/>
    </row>
    <row r="75" spans="1:6">
      <c r="A75" s="4"/>
      <c r="B75" s="4"/>
      <c r="C75" s="13"/>
      <c r="D75" s="5"/>
      <c r="E75" s="4"/>
      <c r="F75" s="4"/>
    </row>
    <row r="76" spans="1:6">
      <c r="A76" s="4"/>
      <c r="B76" s="4"/>
      <c r="C76" s="13"/>
      <c r="D76" s="5"/>
      <c r="E76" s="4"/>
      <c r="F76" s="4"/>
    </row>
    <row r="77" spans="1:6">
      <c r="A77" s="4"/>
      <c r="B77" s="4"/>
      <c r="C77" s="13"/>
      <c r="D77" s="5"/>
      <c r="E77" s="4"/>
      <c r="F77" s="4"/>
    </row>
    <row r="78" spans="1:6">
      <c r="A78" s="4"/>
      <c r="B78" s="4"/>
      <c r="C78" s="13"/>
      <c r="D78" s="5"/>
      <c r="E78" s="4"/>
      <c r="F78" s="4"/>
    </row>
    <row r="79" spans="1:6">
      <c r="A79" s="4"/>
      <c r="B79" s="4"/>
      <c r="C79" s="13"/>
      <c r="D79" s="5"/>
      <c r="E79" s="4"/>
      <c r="F79" s="4"/>
    </row>
    <row r="80" spans="1:6">
      <c r="A80" s="4"/>
      <c r="B80" s="4"/>
      <c r="C80" s="13"/>
      <c r="D80" s="5"/>
      <c r="E80" s="4"/>
      <c r="F80" s="4"/>
    </row>
    <row r="81" spans="1:6">
      <c r="A81" s="4"/>
      <c r="B81" s="4"/>
      <c r="C81" s="13"/>
      <c r="D81" s="5"/>
      <c r="E81" s="4"/>
      <c r="F81" s="4"/>
    </row>
    <row r="82" spans="1:6">
      <c r="A82" s="4"/>
      <c r="B82" s="4"/>
      <c r="C82" s="13"/>
      <c r="D82" s="5"/>
      <c r="E82" s="4"/>
      <c r="F82" s="4"/>
    </row>
    <row r="83" spans="1:6">
      <c r="A83" s="4"/>
      <c r="B83" s="4"/>
      <c r="C83" s="13"/>
      <c r="D83" s="5"/>
      <c r="E83" s="4"/>
      <c r="F83" s="4"/>
    </row>
    <row r="84" spans="1:6">
      <c r="A84" s="4"/>
      <c r="B84" s="4"/>
      <c r="C84" s="13"/>
      <c r="D84" s="5"/>
      <c r="E84" s="4"/>
      <c r="F84" s="4"/>
    </row>
    <row r="85" spans="1:6">
      <c r="A85" s="4"/>
      <c r="B85" s="4"/>
      <c r="C85" s="13"/>
      <c r="D85" s="5"/>
      <c r="E85" s="4"/>
      <c r="F85" s="4"/>
    </row>
    <row r="86" spans="1:6">
      <c r="A86" s="4"/>
      <c r="B86" s="4"/>
      <c r="C86" s="13"/>
      <c r="D86" s="5"/>
      <c r="E86" s="4"/>
      <c r="F86" s="4"/>
    </row>
    <row r="87" spans="1:6">
      <c r="A87" s="4"/>
      <c r="B87" s="4"/>
      <c r="C87" s="13"/>
      <c r="D87" s="5"/>
      <c r="E87" s="4"/>
      <c r="F87" s="4"/>
    </row>
    <row r="88" spans="1:6">
      <c r="A88" s="4"/>
      <c r="B88" s="4"/>
      <c r="C88" s="13"/>
      <c r="D88" s="5"/>
      <c r="E88" s="4"/>
      <c r="F88" s="4"/>
    </row>
    <row r="89" spans="1:6">
      <c r="A89" s="4"/>
      <c r="B89" s="4"/>
      <c r="C89" s="13"/>
      <c r="D89" s="5"/>
      <c r="E89" s="4"/>
      <c r="F89" s="4"/>
    </row>
    <row r="90" spans="1:6">
      <c r="A90" s="4"/>
      <c r="B90" s="4"/>
      <c r="C90" s="13"/>
      <c r="D90" s="5"/>
      <c r="E90" s="4"/>
      <c r="F90" s="4"/>
    </row>
    <row r="91" spans="1:6">
      <c r="A91" s="4"/>
      <c r="B91" s="4"/>
      <c r="C91" s="13"/>
      <c r="D91" s="5"/>
      <c r="E91" s="4"/>
      <c r="F91" s="4"/>
    </row>
    <row r="92" spans="1:6">
      <c r="A92" s="4"/>
      <c r="B92" s="4"/>
      <c r="C92" s="13"/>
      <c r="D92" s="5"/>
      <c r="E92" s="4"/>
      <c r="F92" s="4"/>
    </row>
    <row r="93" spans="1:6">
      <c r="A93" s="4"/>
      <c r="B93" s="4"/>
      <c r="C93" s="13"/>
      <c r="D93" s="5"/>
      <c r="E93" s="4"/>
      <c r="F93" s="4"/>
    </row>
    <row r="94" spans="1:6">
      <c r="A94" s="4"/>
      <c r="B94" s="4"/>
      <c r="C94" s="13"/>
      <c r="D94" s="5"/>
      <c r="E94" s="4"/>
      <c r="F94" s="4"/>
    </row>
    <row r="95" spans="1:6">
      <c r="A95" s="4"/>
      <c r="B95" s="4"/>
      <c r="C95" s="13"/>
      <c r="D95" s="5"/>
      <c r="E95" s="4"/>
      <c r="F95" s="4"/>
    </row>
    <row r="96" spans="1:6">
      <c r="A96" s="4"/>
      <c r="B96" s="4"/>
      <c r="C96" s="13"/>
      <c r="D96" s="5"/>
      <c r="E96" s="4"/>
      <c r="F96" s="4"/>
    </row>
    <row r="97" spans="1:6">
      <c r="A97" s="4"/>
      <c r="B97" s="4"/>
      <c r="C97" s="13"/>
      <c r="D97" s="5"/>
      <c r="E97" s="4"/>
      <c r="F97" s="4"/>
    </row>
    <row r="98" spans="1:6">
      <c r="A98" s="4"/>
      <c r="B98" s="4"/>
      <c r="C98" s="13"/>
      <c r="D98" s="5"/>
      <c r="E98" s="4"/>
      <c r="F98" s="4"/>
    </row>
    <row r="99" spans="1:6">
      <c r="A99" s="4"/>
      <c r="B99" s="4"/>
      <c r="C99" s="13"/>
      <c r="D99" s="5"/>
      <c r="E99" s="4"/>
      <c r="F99" s="4"/>
    </row>
    <row r="100" spans="1:6">
      <c r="A100" s="4"/>
      <c r="B100" s="4"/>
      <c r="C100" s="13"/>
      <c r="D100" s="5"/>
      <c r="E100" s="4"/>
      <c r="F100" s="4"/>
    </row>
    <row r="101" spans="1:6">
      <c r="A101" s="4"/>
      <c r="B101" s="4"/>
      <c r="C101" s="13"/>
      <c r="D101" s="5"/>
      <c r="E101" s="4"/>
      <c r="F101" s="4"/>
    </row>
    <row r="102" spans="1:6">
      <c r="A102" s="4"/>
      <c r="B102" s="4"/>
      <c r="C102" s="13"/>
      <c r="D102" s="5"/>
      <c r="E102" s="4"/>
      <c r="F102" s="4"/>
    </row>
    <row r="103" spans="1:6">
      <c r="A103" s="4"/>
      <c r="B103" s="4"/>
      <c r="C103" s="13"/>
      <c r="D103" s="5"/>
      <c r="E103" s="4"/>
      <c r="F103" s="4"/>
    </row>
    <row r="104" spans="1:6">
      <c r="A104" s="4"/>
      <c r="B104" s="4"/>
      <c r="C104" s="13"/>
      <c r="D104" s="5"/>
      <c r="E104" s="4"/>
      <c r="F104" s="4"/>
    </row>
    <row r="105" spans="1:6">
      <c r="A105" s="4"/>
      <c r="B105" s="4"/>
      <c r="C105" s="13"/>
      <c r="D105" s="5"/>
      <c r="E105" s="4"/>
      <c r="F105" s="4"/>
    </row>
    <row r="106" spans="1:6">
      <c r="A106" s="4"/>
      <c r="B106" s="4"/>
      <c r="C106" s="13"/>
      <c r="D106" s="5"/>
      <c r="E106" s="4"/>
      <c r="F106" s="4"/>
    </row>
    <row r="107" spans="1:6">
      <c r="A107" s="4"/>
      <c r="B107" s="4"/>
      <c r="C107" s="13"/>
      <c r="D107" s="5"/>
      <c r="E107" s="4"/>
      <c r="F107" s="4"/>
    </row>
    <row r="108" spans="1:6">
      <c r="A108" s="4"/>
      <c r="B108" s="4"/>
      <c r="C108" s="13"/>
      <c r="D108" s="5"/>
      <c r="E108" s="4"/>
      <c r="F108" s="4"/>
    </row>
    <row r="109" spans="1:6">
      <c r="A109" s="4"/>
      <c r="B109" s="4"/>
      <c r="C109" s="13"/>
      <c r="D109" s="5"/>
      <c r="E109" s="4"/>
      <c r="F109" s="4"/>
    </row>
    <row r="110" spans="1:6">
      <c r="A110" s="4"/>
      <c r="B110" s="4"/>
      <c r="C110" s="13"/>
      <c r="D110" s="5"/>
      <c r="E110" s="4"/>
      <c r="F110" s="4"/>
    </row>
    <row r="111" spans="1:6">
      <c r="A111" s="4"/>
      <c r="B111" s="4"/>
      <c r="C111" s="13"/>
      <c r="D111" s="5"/>
      <c r="E111" s="4"/>
      <c r="F111" s="4"/>
    </row>
    <row r="112" spans="1:6">
      <c r="A112" s="4"/>
      <c r="B112" s="4"/>
      <c r="C112" s="13"/>
      <c r="D112" s="5"/>
      <c r="E112" s="4"/>
      <c r="F112" s="4"/>
    </row>
    <row r="113" spans="1:6">
      <c r="A113" s="4"/>
      <c r="B113" s="4"/>
      <c r="C113" s="13"/>
      <c r="D113" s="5"/>
      <c r="E113" s="4"/>
      <c r="F113" s="4"/>
    </row>
    <row r="114" spans="1:6">
      <c r="A114" s="4"/>
      <c r="B114" s="4"/>
      <c r="C114" s="13"/>
      <c r="D114" s="5"/>
      <c r="E114" s="4"/>
      <c r="F114" s="4"/>
    </row>
    <row r="115" spans="1:6">
      <c r="A115" s="4"/>
      <c r="B115" s="4"/>
      <c r="C115" s="13"/>
      <c r="D115" s="5"/>
      <c r="E115" s="4"/>
      <c r="F115" s="4"/>
    </row>
    <row r="116" spans="1:6">
      <c r="A116" s="4"/>
      <c r="B116" s="4"/>
      <c r="C116" s="13"/>
      <c r="D116" s="5"/>
      <c r="E116" s="4"/>
      <c r="F116" s="4"/>
    </row>
    <row r="117" spans="1:6">
      <c r="A117" s="4"/>
      <c r="B117" s="4"/>
      <c r="C117" s="13"/>
      <c r="D117" s="5"/>
      <c r="E117" s="4"/>
      <c r="F117" s="4"/>
    </row>
    <row r="118" spans="1:6">
      <c r="A118" s="4"/>
      <c r="B118" s="4"/>
      <c r="C118" s="13"/>
      <c r="D118" s="5"/>
      <c r="E118" s="4"/>
      <c r="F118" s="4"/>
    </row>
    <row r="119" spans="1:6">
      <c r="A119" s="4"/>
      <c r="B119" s="4"/>
      <c r="C119" s="13"/>
      <c r="D119" s="5"/>
      <c r="E119" s="4"/>
      <c r="F119" s="4"/>
    </row>
    <row r="120" spans="1:6">
      <c r="A120" s="4"/>
      <c r="B120" s="4"/>
      <c r="C120" s="13"/>
      <c r="D120" s="5"/>
      <c r="E120" s="4"/>
      <c r="F120" s="4"/>
    </row>
    <row r="121" spans="1:6">
      <c r="A121" s="4"/>
      <c r="B121" s="4"/>
      <c r="C121" s="13"/>
      <c r="D121" s="5"/>
      <c r="E121" s="4"/>
      <c r="F121" s="4"/>
    </row>
    <row r="122" spans="1:6">
      <c r="A122" s="4"/>
      <c r="B122" s="4"/>
      <c r="C122" s="13"/>
      <c r="D122" s="5"/>
      <c r="E122" s="4"/>
      <c r="F122" s="4"/>
    </row>
    <row r="123" spans="1:6">
      <c r="A123" s="4"/>
      <c r="B123" s="4"/>
      <c r="C123" s="13"/>
      <c r="D123" s="5"/>
      <c r="E123" s="4"/>
      <c r="F123" s="4"/>
    </row>
    <row r="124" spans="1:6">
      <c r="A124" s="4"/>
      <c r="B124" s="4"/>
      <c r="C124" s="13"/>
      <c r="D124" s="5"/>
      <c r="E124" s="4"/>
      <c r="F124" s="4"/>
    </row>
    <row r="125" spans="1:6">
      <c r="A125" s="4"/>
      <c r="B125" s="4"/>
      <c r="C125" s="13"/>
      <c r="D125" s="5"/>
      <c r="E125" s="4"/>
      <c r="F125" s="4"/>
    </row>
    <row r="126" spans="1:6">
      <c r="A126" s="4"/>
      <c r="B126" s="4"/>
      <c r="C126" s="13"/>
      <c r="D126" s="5"/>
      <c r="E126" s="4"/>
      <c r="F126" s="4"/>
    </row>
    <row r="127" spans="1:6">
      <c r="A127" s="4"/>
      <c r="B127" s="4"/>
      <c r="C127" s="13"/>
      <c r="D127" s="5"/>
      <c r="E127" s="4"/>
      <c r="F127" s="4"/>
    </row>
    <row r="128" spans="1:6">
      <c r="A128" s="4"/>
      <c r="B128" s="4"/>
      <c r="C128" s="13"/>
      <c r="D128" s="5"/>
      <c r="E128" s="4"/>
      <c r="F128" s="4"/>
    </row>
    <row r="129" spans="1:6">
      <c r="A129" s="4"/>
      <c r="B129" s="4"/>
      <c r="C129" s="13"/>
      <c r="D129" s="5"/>
      <c r="E129" s="4"/>
      <c r="F129" s="4"/>
    </row>
    <row r="130" spans="1:6">
      <c r="A130" s="4"/>
      <c r="B130" s="4"/>
      <c r="C130" s="13"/>
      <c r="D130" s="5"/>
      <c r="E130" s="4"/>
      <c r="F130" s="4"/>
    </row>
    <row r="131" spans="1:6">
      <c r="A131" s="4"/>
      <c r="B131" s="4"/>
      <c r="C131" s="13"/>
      <c r="D131" s="5"/>
      <c r="E131" s="4"/>
      <c r="F131" s="4"/>
    </row>
    <row r="132" spans="1:6">
      <c r="A132" s="4"/>
      <c r="B132" s="4"/>
      <c r="C132" s="13"/>
      <c r="D132" s="5"/>
      <c r="E132" s="4"/>
      <c r="F132" s="4"/>
    </row>
    <row r="133" spans="1:6">
      <c r="A133" s="4"/>
      <c r="B133" s="4"/>
      <c r="C133" s="13"/>
      <c r="D133" s="5"/>
      <c r="E133" s="4"/>
      <c r="F133" s="4"/>
    </row>
    <row r="134" spans="1:6">
      <c r="A134" s="4"/>
      <c r="B134" s="4"/>
      <c r="C134" s="13"/>
      <c r="D134" s="5"/>
      <c r="E134" s="4"/>
      <c r="F134" s="4"/>
    </row>
    <row r="135" spans="1:6">
      <c r="A135" s="4"/>
      <c r="B135" s="4"/>
      <c r="C135" s="13"/>
      <c r="D135" s="5"/>
      <c r="E135" s="4"/>
      <c r="F135" s="4"/>
    </row>
    <row r="136" spans="1:6">
      <c r="A136" s="4"/>
      <c r="B136" s="4"/>
      <c r="C136" s="13"/>
      <c r="D136" s="5"/>
      <c r="E136" s="4"/>
      <c r="F136" s="4"/>
    </row>
    <row r="137" spans="1:6">
      <c r="A137" s="4"/>
      <c r="B137" s="4"/>
      <c r="C137" s="13"/>
      <c r="D137" s="5"/>
      <c r="E137" s="4"/>
      <c r="F137" s="4"/>
    </row>
    <row r="138" spans="1:6">
      <c r="A138" s="4"/>
      <c r="B138" s="4"/>
      <c r="C138" s="13"/>
      <c r="D138" s="5"/>
      <c r="E138" s="4"/>
      <c r="F138" s="4"/>
    </row>
    <row r="139" spans="1:6">
      <c r="A139" s="4"/>
      <c r="B139" s="4"/>
      <c r="C139" s="13"/>
      <c r="D139" s="5"/>
      <c r="E139" s="4"/>
      <c r="F139" s="4"/>
    </row>
    <row r="140" spans="1:6">
      <c r="A140" s="4"/>
      <c r="B140" s="4"/>
      <c r="C140" s="13"/>
      <c r="D140" s="5"/>
      <c r="E140" s="4"/>
      <c r="F140" s="4"/>
    </row>
    <row r="141" spans="1:6">
      <c r="A141" s="4"/>
      <c r="B141" s="4"/>
      <c r="C141" s="13"/>
      <c r="D141" s="5"/>
      <c r="E141" s="4"/>
      <c r="F141" s="4"/>
    </row>
    <row r="142" spans="1:6">
      <c r="A142" s="4"/>
      <c r="B142" s="4"/>
      <c r="C142" s="13"/>
      <c r="D142" s="5"/>
      <c r="E142" s="4"/>
      <c r="F142" s="4"/>
    </row>
    <row r="143" spans="1:6">
      <c r="A143" s="4"/>
      <c r="B143" s="4"/>
      <c r="C143" s="13"/>
      <c r="D143" s="5"/>
      <c r="E143" s="4"/>
      <c r="F143" s="4"/>
    </row>
    <row r="144" spans="1:6">
      <c r="A144" s="4"/>
      <c r="B144" s="4"/>
      <c r="C144" s="13"/>
      <c r="D144" s="5"/>
      <c r="E144" s="4"/>
      <c r="F144" s="4"/>
    </row>
    <row r="145" spans="1:6">
      <c r="A145" s="4"/>
      <c r="B145" s="4"/>
      <c r="C145" s="13"/>
      <c r="D145" s="5"/>
      <c r="E145" s="4"/>
      <c r="F145" s="4"/>
    </row>
    <row r="146" spans="1:6">
      <c r="A146" s="4"/>
      <c r="B146" s="4"/>
      <c r="C146" s="13"/>
      <c r="D146" s="5"/>
      <c r="E146" s="4"/>
      <c r="F146" s="4"/>
    </row>
    <row r="147" spans="1:6">
      <c r="A147" s="4"/>
      <c r="B147" s="4"/>
      <c r="C147" s="13"/>
      <c r="D147" s="5"/>
      <c r="E147" s="4"/>
      <c r="F147" s="4"/>
    </row>
    <row r="148" spans="1:6">
      <c r="A148" s="4"/>
      <c r="B148" s="4"/>
      <c r="C148" s="13"/>
      <c r="D148" s="5"/>
      <c r="E148" s="4"/>
      <c r="F148" s="4"/>
    </row>
    <row r="149" spans="1:6">
      <c r="A149" s="4"/>
      <c r="B149" s="4"/>
      <c r="C149" s="13"/>
      <c r="D149" s="5"/>
      <c r="E149" s="4"/>
      <c r="F149" s="4"/>
    </row>
    <row r="150" spans="1:6">
      <c r="A150" s="4"/>
      <c r="B150" s="4"/>
      <c r="C150" s="13"/>
      <c r="D150" s="5"/>
      <c r="E150" s="4"/>
      <c r="F150" s="4"/>
    </row>
    <row r="151" spans="1:6">
      <c r="A151" s="4"/>
      <c r="B151" s="4"/>
      <c r="C151" s="13"/>
      <c r="D151" s="5"/>
      <c r="E151" s="4"/>
      <c r="F151" s="4"/>
    </row>
    <row r="152" spans="1:6">
      <c r="A152" s="4"/>
      <c r="B152" s="4"/>
      <c r="C152" s="13"/>
      <c r="D152" s="5"/>
      <c r="E152" s="4"/>
      <c r="F152" s="4"/>
    </row>
    <row r="153" spans="1:6">
      <c r="A153" s="4"/>
      <c r="B153" s="4"/>
      <c r="C153" s="13"/>
      <c r="D153" s="5"/>
      <c r="E153" s="4"/>
      <c r="F153" s="4"/>
    </row>
    <row r="154" spans="1:6">
      <c r="A154" s="4"/>
      <c r="B154" s="4"/>
      <c r="C154" s="13"/>
      <c r="D154" s="5"/>
      <c r="E154" s="4"/>
      <c r="F154" s="4"/>
    </row>
    <row r="155" spans="1:6">
      <c r="A155" s="4"/>
      <c r="B155" s="4"/>
      <c r="C155" s="13"/>
      <c r="D155" s="5"/>
      <c r="E155" s="4"/>
      <c r="F155" s="4"/>
    </row>
    <row r="156" spans="1:6">
      <c r="A156" s="4"/>
      <c r="B156" s="4"/>
      <c r="C156" s="13"/>
      <c r="D156" s="5"/>
      <c r="E156" s="4"/>
      <c r="F156" s="4"/>
    </row>
    <row r="157" spans="1:6">
      <c r="A157" s="4"/>
      <c r="B157" s="4"/>
      <c r="C157" s="13"/>
      <c r="D157" s="5"/>
      <c r="E157" s="4"/>
      <c r="F157" s="4"/>
    </row>
    <row r="158" spans="1:6">
      <c r="A158" s="4"/>
      <c r="B158" s="4"/>
      <c r="C158" s="13"/>
      <c r="D158" s="5"/>
      <c r="E158" s="4"/>
      <c r="F158" s="4"/>
    </row>
    <row r="159" spans="1:6">
      <c r="A159" s="4"/>
      <c r="B159" s="4"/>
      <c r="C159" s="13"/>
      <c r="D159" s="5"/>
      <c r="E159" s="4"/>
      <c r="F159" s="4"/>
    </row>
    <row r="160" spans="1:6">
      <c r="A160" s="4"/>
      <c r="B160" s="4"/>
      <c r="C160" s="13"/>
      <c r="D160" s="5"/>
      <c r="E160" s="4"/>
      <c r="F160" s="4"/>
    </row>
    <row r="161" spans="1:6">
      <c r="A161" s="4"/>
      <c r="B161" s="4"/>
      <c r="C161" s="13"/>
      <c r="D161" s="5"/>
      <c r="E161" s="4"/>
      <c r="F161" s="4"/>
    </row>
    <row r="162" spans="1:6">
      <c r="A162" s="4"/>
      <c r="B162" s="4"/>
      <c r="C162" s="13"/>
      <c r="D162" s="5"/>
      <c r="E162" s="4"/>
      <c r="F162" s="4"/>
    </row>
    <row r="163" spans="1:6">
      <c r="A163" s="4"/>
      <c r="B163" s="4"/>
      <c r="C163" s="13"/>
      <c r="D163" s="5"/>
      <c r="E163" s="4"/>
      <c r="F163" s="4"/>
    </row>
    <row r="164" spans="1:6">
      <c r="A164" s="4"/>
      <c r="B164" s="4"/>
      <c r="C164" s="13"/>
      <c r="D164" s="5"/>
      <c r="E164" s="4"/>
      <c r="F164" s="4"/>
    </row>
    <row r="165" spans="1:6">
      <c r="A165" s="4"/>
      <c r="B165" s="4"/>
      <c r="C165" s="13"/>
      <c r="D165" s="5"/>
      <c r="E165" s="4"/>
      <c r="F165" s="4"/>
    </row>
    <row r="166" spans="1:6">
      <c r="A166" s="4"/>
      <c r="B166" s="4"/>
      <c r="C166" s="13"/>
      <c r="D166" s="5"/>
      <c r="E166" s="4"/>
      <c r="F166" s="4"/>
    </row>
    <row r="167" spans="1:6">
      <c r="A167" s="4"/>
      <c r="B167" s="4"/>
      <c r="C167" s="13"/>
      <c r="D167" s="5"/>
      <c r="E167" s="4"/>
      <c r="F167" s="4"/>
    </row>
    <row r="168" spans="1:6">
      <c r="A168" s="4"/>
      <c r="B168" s="4"/>
      <c r="C168" s="13"/>
      <c r="D168" s="5"/>
      <c r="E168" s="4"/>
      <c r="F168" s="4"/>
    </row>
    <row r="169" spans="1:6">
      <c r="A169" s="4"/>
      <c r="B169" s="4"/>
      <c r="C169" s="13"/>
      <c r="D169" s="5"/>
      <c r="E169" s="4"/>
      <c r="F169" s="4"/>
    </row>
    <row r="170" spans="1:6">
      <c r="A170" s="4"/>
      <c r="B170" s="4"/>
      <c r="C170" s="13"/>
      <c r="D170" s="5"/>
      <c r="E170" s="4"/>
      <c r="F170" s="4"/>
    </row>
    <row r="171" spans="1:6">
      <c r="A171" s="4"/>
      <c r="B171" s="4"/>
      <c r="C171" s="13"/>
      <c r="D171" s="5"/>
      <c r="E171" s="4"/>
      <c r="F171" s="4"/>
    </row>
    <row r="172" spans="1:6">
      <c r="A172" s="4"/>
      <c r="B172" s="4"/>
      <c r="C172" s="13"/>
      <c r="D172" s="5"/>
      <c r="E172" s="4"/>
      <c r="F172" s="4"/>
    </row>
    <row r="173" spans="1:6">
      <c r="A173" s="4"/>
      <c r="B173" s="4"/>
      <c r="C173" s="13"/>
      <c r="D173" s="5"/>
      <c r="E173" s="4"/>
      <c r="F173" s="4"/>
    </row>
    <row r="174" spans="1:6">
      <c r="A174" s="4"/>
      <c r="B174" s="4"/>
      <c r="C174" s="13"/>
      <c r="D174" s="5"/>
      <c r="E174" s="4"/>
      <c r="F174" s="4"/>
    </row>
    <row r="175" spans="1:6">
      <c r="A175" s="4"/>
      <c r="B175" s="4"/>
      <c r="C175" s="13"/>
      <c r="D175" s="5"/>
      <c r="E175" s="4"/>
      <c r="F175" s="4"/>
    </row>
    <row r="176" spans="1:6">
      <c r="A176" s="4"/>
      <c r="B176" s="4"/>
      <c r="C176" s="13"/>
      <c r="D176" s="5"/>
      <c r="E176" s="4"/>
      <c r="F176" s="4"/>
    </row>
    <row r="177" spans="1:6">
      <c r="A177" s="4"/>
      <c r="B177" s="4"/>
      <c r="C177" s="13"/>
      <c r="D177" s="5"/>
      <c r="E177" s="4"/>
      <c r="F177" s="4"/>
    </row>
    <row r="178" spans="1:6">
      <c r="A178" s="4"/>
      <c r="B178" s="4"/>
      <c r="C178" s="13"/>
      <c r="D178" s="5"/>
      <c r="E178" s="4"/>
      <c r="F178" s="4"/>
    </row>
    <row r="179" spans="1:6">
      <c r="A179" s="4"/>
      <c r="B179" s="4"/>
      <c r="C179" s="13"/>
      <c r="D179" s="5"/>
      <c r="E179" s="4"/>
      <c r="F179" s="4"/>
    </row>
    <row r="180" spans="1:6">
      <c r="A180" s="4"/>
      <c r="B180" s="4"/>
      <c r="C180" s="13"/>
      <c r="D180" s="5"/>
      <c r="E180" s="4"/>
      <c r="F180" s="4"/>
    </row>
    <row r="181" spans="1:6">
      <c r="A181" s="4"/>
      <c r="B181" s="4"/>
      <c r="C181" s="13"/>
      <c r="D181" s="5"/>
      <c r="E181" s="4"/>
      <c r="F181" s="4"/>
    </row>
    <row r="182" spans="1:6">
      <c r="A182" s="4"/>
      <c r="B182" s="4"/>
      <c r="C182" s="13"/>
      <c r="D182" s="5"/>
      <c r="E182" s="4"/>
      <c r="F182" s="4"/>
    </row>
    <row r="183" spans="1:6">
      <c r="A183" s="4"/>
      <c r="B183" s="4"/>
      <c r="C183" s="13"/>
      <c r="D183" s="5"/>
      <c r="E183" s="4"/>
      <c r="F183" s="4"/>
    </row>
    <row r="184" spans="1:6">
      <c r="A184" s="4"/>
      <c r="B184" s="4"/>
      <c r="C184" s="13"/>
      <c r="D184" s="5"/>
      <c r="E184" s="4"/>
      <c r="F184" s="4"/>
    </row>
    <row r="185" spans="1:6">
      <c r="A185" s="4"/>
      <c r="B185" s="4"/>
      <c r="C185" s="13"/>
      <c r="D185" s="5"/>
      <c r="E185" s="4"/>
      <c r="F185" s="4"/>
    </row>
    <row r="186" spans="1:6">
      <c r="A186" s="4"/>
      <c r="B186" s="4"/>
      <c r="C186" s="13"/>
      <c r="D186" s="5"/>
      <c r="E186" s="4"/>
      <c r="F186" s="4"/>
    </row>
    <row r="187" spans="1:6">
      <c r="A187" s="4"/>
      <c r="B187" s="4"/>
      <c r="C187" s="13"/>
      <c r="D187" s="5"/>
      <c r="E187" s="4"/>
      <c r="F187" s="4"/>
    </row>
    <row r="188" spans="1:6">
      <c r="A188" s="4"/>
      <c r="B188" s="4"/>
      <c r="C188" s="13"/>
      <c r="D188" s="5"/>
      <c r="E188" s="4"/>
      <c r="F188" s="4"/>
    </row>
    <row r="189" spans="1:6">
      <c r="A189" s="4"/>
      <c r="B189" s="4"/>
      <c r="C189" s="13"/>
      <c r="D189" s="5"/>
      <c r="E189" s="4"/>
      <c r="F189" s="4"/>
    </row>
    <row r="190" spans="1:6">
      <c r="A190" s="4"/>
      <c r="B190" s="4"/>
      <c r="C190" s="13"/>
      <c r="D190" s="5"/>
      <c r="E190" s="4"/>
      <c r="F190" s="4"/>
    </row>
    <row r="191" spans="1:6">
      <c r="A191" s="4"/>
      <c r="B191" s="4"/>
      <c r="C191" s="13"/>
      <c r="D191" s="5"/>
      <c r="E191" s="4"/>
      <c r="F191" s="4"/>
    </row>
    <row r="192" spans="1:6">
      <c r="A192" s="4"/>
      <c r="B192" s="4"/>
      <c r="C192" s="13"/>
      <c r="D192" s="5"/>
      <c r="E192" s="4"/>
      <c r="F192" s="4"/>
    </row>
    <row r="193" spans="1:6">
      <c r="A193" s="4"/>
      <c r="B193" s="4"/>
      <c r="C193" s="13"/>
      <c r="D193" s="5"/>
      <c r="E193" s="4"/>
      <c r="F193" s="4"/>
    </row>
    <row r="194" spans="1:6">
      <c r="A194" s="4"/>
      <c r="B194" s="4"/>
      <c r="C194" s="13"/>
      <c r="D194" s="5"/>
      <c r="E194" s="4"/>
      <c r="F194" s="4"/>
    </row>
    <row r="195" spans="1:6">
      <c r="A195" s="4"/>
      <c r="B195" s="4"/>
      <c r="C195" s="13"/>
      <c r="D195" s="5"/>
      <c r="E195" s="4"/>
      <c r="F195" s="4"/>
    </row>
    <row r="196" spans="1:6">
      <c r="A196" s="4"/>
      <c r="B196" s="4"/>
      <c r="C196" s="13"/>
      <c r="D196" s="5"/>
      <c r="E196" s="4"/>
      <c r="F196" s="4"/>
    </row>
    <row r="197" spans="1:6">
      <c r="A197" s="4"/>
      <c r="B197" s="4"/>
      <c r="C197" s="13"/>
      <c r="D197" s="5"/>
      <c r="E197" s="4"/>
      <c r="F197" s="4"/>
    </row>
    <row r="198" spans="1:6">
      <c r="A198" s="4"/>
      <c r="B198" s="4"/>
      <c r="C198" s="13"/>
      <c r="D198" s="5"/>
      <c r="E198" s="4"/>
      <c r="F198" s="4"/>
    </row>
    <row r="199" spans="1:6">
      <c r="A199" s="4"/>
      <c r="B199" s="4"/>
      <c r="C199" s="13"/>
      <c r="D199" s="5"/>
      <c r="E199" s="4"/>
      <c r="F199" s="4"/>
    </row>
    <row r="200" spans="1:6">
      <c r="A200" s="4"/>
      <c r="B200" s="4"/>
      <c r="C200" s="13"/>
      <c r="D200" s="5"/>
      <c r="E200" s="4"/>
      <c r="F200" s="4"/>
    </row>
  </sheetData>
  <dataValidations count="1">
    <dataValidation type="list" allowBlank="1" sqref="E2:E200" xr:uid="{00000000-0002-0000-0200-000000000000}">
      <formula1>"Not Started,In Progress,Completed,On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4"/>
  <sheetViews>
    <sheetView workbookViewId="0">
      <pane ySplit="1" topLeftCell="A8" activePane="bottomLeft" state="frozen"/>
      <selection pane="bottomLeft" activeCell="B21" sqref="B21"/>
    </sheetView>
  </sheetViews>
  <sheetFormatPr defaultRowHeight="14.45"/>
  <cols>
    <col min="1" max="1" width="43.140625" customWidth="1"/>
    <col min="2" max="2" width="40" customWidth="1"/>
    <col min="3" max="3" width="16" customWidth="1"/>
    <col min="4" max="5" width="12" customWidth="1"/>
    <col min="6" max="6" width="20" customWidth="1"/>
    <col min="7" max="7" width="40" customWidth="1"/>
    <col min="8" max="8" width="18" customWidth="1"/>
    <col min="9" max="9" width="16" customWidth="1"/>
    <col min="10" max="10" width="14" customWidth="1"/>
  </cols>
  <sheetData>
    <row r="1" spans="1:10" ht="29.1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4</v>
      </c>
      <c r="I1" s="3" t="s">
        <v>17</v>
      </c>
      <c r="J1" s="3" t="s">
        <v>19</v>
      </c>
    </row>
    <row r="2" spans="1:10">
      <c r="A2" s="4"/>
      <c r="B2" s="4" t="s">
        <v>106</v>
      </c>
      <c r="C2" s="4"/>
      <c r="D2" s="4"/>
      <c r="E2" s="4"/>
      <c r="F2" s="4" t="str">
        <f t="shared" ref="F2:F36" si="0">IF(D2="", "", (IF(D2="Low",1,IF(D2="Medium",2,IF(D2="High",3,0)))) * (IF(E2="Low",1,IF(E2="Medium",2,IF(E2="High",3,0)))))</f>
        <v/>
      </c>
      <c r="G2" s="4"/>
      <c r="H2" s="4"/>
      <c r="I2" s="5"/>
      <c r="J2" s="4"/>
    </row>
    <row r="3" spans="1:10">
      <c r="A3" s="4"/>
      <c r="B3" s="4" t="s">
        <v>107</v>
      </c>
      <c r="C3" s="4"/>
      <c r="D3" s="4"/>
      <c r="E3" s="4"/>
      <c r="F3" s="4" t="str">
        <f t="shared" si="0"/>
        <v/>
      </c>
      <c r="G3" s="4"/>
      <c r="H3" s="4"/>
      <c r="I3" s="5"/>
      <c r="J3" s="4"/>
    </row>
    <row r="4" spans="1:10">
      <c r="A4" s="4"/>
      <c r="B4" s="4" t="s">
        <v>108</v>
      </c>
      <c r="C4" s="4"/>
      <c r="D4" s="4"/>
      <c r="E4" s="4"/>
      <c r="F4" s="4" t="str">
        <f t="shared" si="0"/>
        <v/>
      </c>
      <c r="G4" s="4"/>
      <c r="H4" s="4"/>
      <c r="I4" s="5"/>
      <c r="J4" s="4"/>
    </row>
    <row r="5" spans="1:10">
      <c r="A5" s="4"/>
      <c r="B5" s="4" t="s">
        <v>109</v>
      </c>
      <c r="C5" s="4"/>
      <c r="D5" s="4"/>
      <c r="E5" s="4"/>
      <c r="F5" s="4" t="str">
        <f t="shared" si="0"/>
        <v/>
      </c>
      <c r="G5" s="4"/>
      <c r="H5" s="4"/>
      <c r="I5" s="5"/>
      <c r="J5" s="4"/>
    </row>
    <row r="6" spans="1:10">
      <c r="A6" s="4"/>
      <c r="B6" s="4" t="s">
        <v>110</v>
      </c>
      <c r="C6" s="4"/>
      <c r="D6" s="4"/>
      <c r="E6" s="4"/>
      <c r="F6" s="4" t="str">
        <f t="shared" si="0"/>
        <v/>
      </c>
      <c r="G6" s="4"/>
      <c r="H6" s="4"/>
      <c r="I6" s="5"/>
      <c r="J6" s="4"/>
    </row>
    <row r="7" spans="1:10">
      <c r="A7" s="4"/>
      <c r="B7" s="4" t="s">
        <v>111</v>
      </c>
      <c r="C7" s="4"/>
      <c r="D7" s="4"/>
      <c r="E7" s="4"/>
      <c r="F7" s="4" t="str">
        <f t="shared" si="0"/>
        <v/>
      </c>
      <c r="G7" s="4"/>
      <c r="H7" s="4"/>
      <c r="I7" s="5"/>
      <c r="J7" s="4"/>
    </row>
    <row r="8" spans="1:10">
      <c r="A8" s="4"/>
      <c r="B8" s="4" t="s">
        <v>112</v>
      </c>
      <c r="C8" s="4"/>
      <c r="D8" s="4"/>
      <c r="E8" s="4"/>
      <c r="F8" s="4" t="str">
        <f t="shared" si="0"/>
        <v/>
      </c>
      <c r="G8" s="4"/>
      <c r="H8" s="4"/>
      <c r="I8" s="5"/>
      <c r="J8" s="4"/>
    </row>
    <row r="9" spans="1:10">
      <c r="A9" s="4"/>
      <c r="B9" s="4"/>
      <c r="C9" s="4"/>
      <c r="D9" s="4"/>
      <c r="E9" s="4"/>
      <c r="F9" s="4" t="str">
        <f t="shared" si="0"/>
        <v/>
      </c>
      <c r="G9" s="4"/>
      <c r="H9" s="4"/>
      <c r="I9" s="5"/>
      <c r="J9" s="4"/>
    </row>
    <row r="10" spans="1:10">
      <c r="A10" s="4"/>
      <c r="B10" s="4"/>
      <c r="C10" s="4"/>
      <c r="D10" s="4"/>
      <c r="E10" s="4"/>
      <c r="F10" s="4" t="str">
        <f t="shared" si="0"/>
        <v/>
      </c>
      <c r="G10" s="4"/>
      <c r="H10" s="4"/>
      <c r="I10" s="5"/>
      <c r="J10" s="4"/>
    </row>
    <row r="11" spans="1:10" ht="15">
      <c r="A11" s="16" t="s">
        <v>113</v>
      </c>
      <c r="B11" s="4"/>
      <c r="C11" s="4"/>
      <c r="D11" s="4"/>
      <c r="E11" s="4"/>
      <c r="F11" s="4" t="str">
        <f t="shared" si="0"/>
        <v/>
      </c>
      <c r="G11" s="4"/>
      <c r="H11" s="4"/>
      <c r="I11" s="5"/>
      <c r="J11" s="4"/>
    </row>
    <row r="12" spans="1:10">
      <c r="A12" s="4"/>
      <c r="B12" s="17" t="s">
        <v>114</v>
      </c>
      <c r="C12" s="4"/>
      <c r="D12" s="4"/>
      <c r="E12" s="4"/>
      <c r="F12" s="4" t="str">
        <f t="shared" si="0"/>
        <v/>
      </c>
      <c r="G12" s="4"/>
      <c r="H12" s="4"/>
      <c r="I12" s="5"/>
      <c r="J12" s="4"/>
    </row>
    <row r="13" spans="1:10">
      <c r="A13" s="4"/>
      <c r="B13" s="17" t="s">
        <v>115</v>
      </c>
      <c r="C13" s="4" t="s">
        <v>116</v>
      </c>
      <c r="D13" s="4"/>
      <c r="E13" s="4"/>
      <c r="F13" s="4" t="str">
        <f t="shared" si="0"/>
        <v/>
      </c>
      <c r="G13" s="4"/>
      <c r="H13" s="4"/>
      <c r="I13" s="5"/>
      <c r="J13" s="4"/>
    </row>
    <row r="14" spans="1:10">
      <c r="A14" s="4"/>
      <c r="B14" s="17" t="s">
        <v>117</v>
      </c>
      <c r="C14" s="4" t="s">
        <v>116</v>
      </c>
      <c r="D14" s="4"/>
      <c r="E14" s="4"/>
      <c r="F14" s="4" t="str">
        <f t="shared" si="0"/>
        <v/>
      </c>
      <c r="G14" s="4"/>
      <c r="H14" s="4"/>
      <c r="I14" s="5"/>
      <c r="J14" s="4"/>
    </row>
    <row r="15" spans="1:10">
      <c r="A15" s="4"/>
      <c r="B15" s="17" t="s">
        <v>118</v>
      </c>
      <c r="C15" s="4" t="s">
        <v>116</v>
      </c>
      <c r="D15" s="4"/>
      <c r="E15" s="4"/>
      <c r="F15" s="4" t="str">
        <f t="shared" si="0"/>
        <v/>
      </c>
      <c r="G15" s="4"/>
      <c r="H15" s="4"/>
      <c r="I15" s="5"/>
      <c r="J15" s="4"/>
    </row>
    <row r="16" spans="1:10">
      <c r="A16" s="4"/>
      <c r="B16" s="17" t="s">
        <v>119</v>
      </c>
      <c r="C16" s="4" t="s">
        <v>116</v>
      </c>
      <c r="D16" s="4"/>
      <c r="E16" s="4"/>
      <c r="F16" s="4" t="str">
        <f t="shared" si="0"/>
        <v/>
      </c>
      <c r="G16" s="4"/>
      <c r="H16" s="4"/>
      <c r="I16" s="5"/>
      <c r="J16" s="4"/>
    </row>
    <row r="17" spans="1:10">
      <c r="A17" s="4"/>
      <c r="B17" s="17" t="s">
        <v>120</v>
      </c>
      <c r="C17" s="4" t="s">
        <v>116</v>
      </c>
      <c r="D17" s="4"/>
      <c r="E17" s="4"/>
      <c r="F17" s="4"/>
      <c r="G17" s="4"/>
      <c r="H17" s="4"/>
      <c r="I17" s="5"/>
      <c r="J17" s="4"/>
    </row>
    <row r="18" spans="1:10">
      <c r="A18" s="4"/>
      <c r="B18" s="17" t="s">
        <v>121</v>
      </c>
      <c r="C18" s="4" t="s">
        <v>116</v>
      </c>
      <c r="D18" s="4"/>
      <c r="E18" s="4"/>
      <c r="F18" s="4" t="str">
        <f t="shared" si="0"/>
        <v/>
      </c>
      <c r="G18" s="4"/>
      <c r="H18" s="4"/>
      <c r="I18" s="5"/>
      <c r="J18" s="4"/>
    </row>
    <row r="19" spans="1:10">
      <c r="A19" s="4"/>
      <c r="B19" s="17" t="s">
        <v>122</v>
      </c>
      <c r="C19" s="4"/>
      <c r="D19" s="4"/>
      <c r="E19" s="4"/>
      <c r="F19" s="4" t="str">
        <f t="shared" si="0"/>
        <v/>
      </c>
      <c r="G19" s="4"/>
      <c r="H19" s="4"/>
      <c r="I19" s="5"/>
      <c r="J19" s="4"/>
    </row>
    <row r="20" spans="1:10">
      <c r="A20" s="4" t="s">
        <v>123</v>
      </c>
      <c r="B20" s="17" t="s">
        <v>124</v>
      </c>
      <c r="C20" s="4"/>
      <c r="D20" s="4"/>
      <c r="E20" s="4"/>
      <c r="F20" s="4" t="str">
        <f t="shared" si="0"/>
        <v/>
      </c>
      <c r="G20" s="4"/>
      <c r="H20" s="4"/>
      <c r="I20" s="5"/>
      <c r="J20" s="4"/>
    </row>
    <row r="21" spans="1:10">
      <c r="A21" s="4" t="s">
        <v>125</v>
      </c>
      <c r="B21" s="17" t="s">
        <v>126</v>
      </c>
      <c r="C21" s="4"/>
      <c r="D21" s="4"/>
      <c r="E21" s="4"/>
      <c r="F21" s="4" t="str">
        <f t="shared" si="0"/>
        <v/>
      </c>
      <c r="G21" s="4"/>
      <c r="H21" s="4"/>
      <c r="I21" s="5"/>
      <c r="J21" s="4"/>
    </row>
    <row r="22" spans="1:10">
      <c r="A22" s="4"/>
      <c r="B22" s="17" t="s">
        <v>127</v>
      </c>
      <c r="C22" s="4"/>
      <c r="D22" s="4"/>
      <c r="E22" s="4"/>
      <c r="F22" s="4"/>
      <c r="G22" s="4"/>
      <c r="H22" s="4"/>
      <c r="I22" s="5"/>
      <c r="J22" s="4"/>
    </row>
    <row r="23" spans="1:10">
      <c r="A23" s="4" t="s">
        <v>128</v>
      </c>
      <c r="B23" s="17" t="s">
        <v>129</v>
      </c>
      <c r="C23" s="4"/>
      <c r="D23" s="4"/>
      <c r="E23" s="4"/>
      <c r="F23" s="4"/>
      <c r="G23" s="4"/>
      <c r="H23" s="4"/>
      <c r="I23" s="5"/>
      <c r="J23" s="4"/>
    </row>
    <row r="24" spans="1:10">
      <c r="A24" s="4"/>
      <c r="B24" s="17" t="s">
        <v>130</v>
      </c>
      <c r="C24" s="4"/>
      <c r="D24" s="4"/>
      <c r="E24" s="4"/>
      <c r="F24" s="4"/>
      <c r="G24" s="4"/>
      <c r="H24" s="4"/>
      <c r="I24" s="5"/>
      <c r="J24" s="4"/>
    </row>
    <row r="25" spans="1:10">
      <c r="A25" s="4" t="s">
        <v>75</v>
      </c>
      <c r="B25" s="17" t="s">
        <v>131</v>
      </c>
      <c r="C25" s="4"/>
      <c r="D25" s="4"/>
      <c r="E25" s="4"/>
      <c r="F25" s="4"/>
      <c r="G25" s="4"/>
      <c r="H25" s="4"/>
      <c r="I25" s="5"/>
      <c r="J25" s="4"/>
    </row>
    <row r="26" spans="1:10">
      <c r="A26" s="4"/>
      <c r="B26" s="4" t="s">
        <v>132</v>
      </c>
      <c r="C26" s="4"/>
      <c r="D26" s="4"/>
      <c r="E26" s="4"/>
      <c r="F26" s="4"/>
      <c r="G26" s="4"/>
      <c r="H26" s="4"/>
      <c r="I26" s="5"/>
      <c r="J26" s="4"/>
    </row>
    <row r="27" spans="1:10">
      <c r="A27" s="4"/>
      <c r="B27" s="4"/>
      <c r="C27" s="4"/>
      <c r="D27" s="4"/>
      <c r="E27" s="4"/>
      <c r="F27" s="4" t="str">
        <f t="shared" si="0"/>
        <v/>
      </c>
      <c r="G27" s="4"/>
      <c r="H27" s="4"/>
      <c r="I27" s="5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5"/>
      <c r="J28" s="4"/>
    </row>
    <row r="29" spans="1:10">
      <c r="A29" s="4" t="s">
        <v>133</v>
      </c>
      <c r="B29" s="4" t="s">
        <v>134</v>
      </c>
      <c r="C29" s="4"/>
      <c r="D29" s="4"/>
      <c r="E29" s="4"/>
      <c r="F29" s="4" t="str">
        <f t="shared" si="0"/>
        <v/>
      </c>
      <c r="G29" s="4"/>
      <c r="H29" s="4"/>
      <c r="I29" s="5"/>
      <c r="J29" s="4"/>
    </row>
    <row r="30" spans="1:10">
      <c r="A30" s="4" t="s">
        <v>135</v>
      </c>
      <c r="B30" s="4" t="s">
        <v>136</v>
      </c>
      <c r="C30" s="4"/>
      <c r="D30" s="4"/>
      <c r="E30" s="4"/>
      <c r="F30" s="4" t="str">
        <f t="shared" si="0"/>
        <v/>
      </c>
      <c r="G30" s="4"/>
      <c r="H30" s="4"/>
      <c r="I30" s="5"/>
      <c r="J30" s="4"/>
    </row>
    <row r="31" spans="1:10">
      <c r="A31" s="4" t="s">
        <v>33</v>
      </c>
      <c r="B31" s="4" t="s">
        <v>108</v>
      </c>
      <c r="C31" s="4"/>
      <c r="D31" s="4"/>
      <c r="E31" s="4"/>
      <c r="F31" s="4" t="str">
        <f t="shared" si="0"/>
        <v/>
      </c>
      <c r="G31" s="4"/>
      <c r="H31" s="4"/>
      <c r="I31" s="5"/>
      <c r="J31" s="4"/>
    </row>
    <row r="32" spans="1:10">
      <c r="A32" s="4"/>
      <c r="B32" s="4"/>
      <c r="C32" s="4"/>
      <c r="D32" s="4"/>
      <c r="E32" s="4"/>
      <c r="F32" s="4" t="str">
        <f t="shared" si="0"/>
        <v/>
      </c>
      <c r="G32" s="4"/>
      <c r="H32" s="4"/>
      <c r="I32" s="5"/>
      <c r="J32" s="4"/>
    </row>
    <row r="33" spans="1:10">
      <c r="A33" s="4"/>
      <c r="B33" s="4"/>
      <c r="C33" s="4"/>
      <c r="D33" s="4"/>
      <c r="E33" s="4"/>
      <c r="F33" s="4" t="str">
        <f t="shared" si="0"/>
        <v/>
      </c>
      <c r="G33" s="4"/>
      <c r="H33" s="4"/>
      <c r="I33" s="5"/>
      <c r="J33" s="4"/>
    </row>
    <row r="34" spans="1:10">
      <c r="A34" s="4"/>
      <c r="B34" s="4"/>
      <c r="C34" s="4"/>
      <c r="D34" s="4"/>
      <c r="E34" s="4"/>
      <c r="F34" s="4" t="str">
        <f t="shared" si="0"/>
        <v/>
      </c>
      <c r="G34" s="4"/>
      <c r="H34" s="4"/>
      <c r="I34" s="5"/>
      <c r="J34" s="4"/>
    </row>
    <row r="35" spans="1:10">
      <c r="A35" s="4"/>
      <c r="B35" s="4"/>
      <c r="C35" s="4"/>
      <c r="D35" s="4"/>
      <c r="E35" s="4"/>
      <c r="F35" s="4" t="str">
        <f t="shared" si="0"/>
        <v/>
      </c>
      <c r="G35" s="4"/>
      <c r="H35" s="4"/>
      <c r="I35" s="5"/>
      <c r="J35" s="4"/>
    </row>
    <row r="36" spans="1:10">
      <c r="A36" s="4"/>
      <c r="B36" s="4"/>
      <c r="C36" s="4"/>
      <c r="D36" s="4"/>
      <c r="E36" s="4"/>
      <c r="F36" s="4" t="str">
        <f t="shared" si="0"/>
        <v/>
      </c>
      <c r="G36" s="4"/>
      <c r="H36" s="4"/>
      <c r="I36" s="5"/>
      <c r="J36" s="4"/>
    </row>
    <row r="37" spans="1:10">
      <c r="A37" s="4"/>
      <c r="B37" s="4"/>
      <c r="C37" s="4"/>
      <c r="D37" s="4"/>
      <c r="E37" s="4"/>
      <c r="F37" s="4" t="str">
        <f t="shared" ref="F37:F68" si="1">IF(D37="", "", (IF(D37="Low",1,IF(D37="Medium",2,IF(D37="High",3,0)))) * (IF(E37="Low",1,IF(E37="Medium",2,IF(E37="High",3,0)))))</f>
        <v/>
      </c>
      <c r="G37" s="4"/>
      <c r="H37" s="4"/>
      <c r="I37" s="5"/>
      <c r="J37" s="4"/>
    </row>
    <row r="38" spans="1:10">
      <c r="A38" s="4"/>
      <c r="B38" s="4"/>
      <c r="C38" s="4"/>
      <c r="D38" s="4"/>
      <c r="E38" s="4"/>
      <c r="F38" s="4" t="str">
        <f t="shared" si="1"/>
        <v/>
      </c>
      <c r="G38" s="4"/>
      <c r="H38" s="4"/>
      <c r="I38" s="5"/>
      <c r="J38" s="4"/>
    </row>
    <row r="39" spans="1:10">
      <c r="A39" s="4"/>
      <c r="B39" s="4"/>
      <c r="C39" s="4"/>
      <c r="D39" s="4"/>
      <c r="E39" s="4"/>
      <c r="F39" s="4" t="str">
        <f t="shared" si="1"/>
        <v/>
      </c>
      <c r="G39" s="4"/>
      <c r="H39" s="4"/>
      <c r="I39" s="5"/>
      <c r="J39" s="4"/>
    </row>
    <row r="40" spans="1:10">
      <c r="A40" s="4"/>
      <c r="B40" s="4"/>
      <c r="C40" s="4"/>
      <c r="D40" s="4"/>
      <c r="E40" s="4"/>
      <c r="F40" s="4" t="str">
        <f t="shared" si="1"/>
        <v/>
      </c>
      <c r="G40" s="4"/>
      <c r="H40" s="4"/>
      <c r="I40" s="5"/>
      <c r="J40" s="4"/>
    </row>
    <row r="41" spans="1:10">
      <c r="A41" s="4"/>
      <c r="B41" s="4"/>
      <c r="C41" s="4"/>
      <c r="D41" s="4"/>
      <c r="E41" s="4"/>
      <c r="F41" s="4" t="str">
        <f t="shared" si="1"/>
        <v/>
      </c>
      <c r="G41" s="4"/>
      <c r="H41" s="4"/>
      <c r="I41" s="5"/>
      <c r="J41" s="4"/>
    </row>
    <row r="42" spans="1:10">
      <c r="A42" s="4"/>
      <c r="B42" s="4"/>
      <c r="C42" s="4"/>
      <c r="D42" s="4"/>
      <c r="E42" s="4"/>
      <c r="F42" s="4" t="str">
        <f t="shared" si="1"/>
        <v/>
      </c>
      <c r="G42" s="4"/>
      <c r="H42" s="4"/>
      <c r="I42" s="5"/>
      <c r="J42" s="4"/>
    </row>
    <row r="43" spans="1:10">
      <c r="A43" s="4"/>
      <c r="B43" s="4"/>
      <c r="C43" s="4"/>
      <c r="D43" s="4"/>
      <c r="E43" s="4"/>
      <c r="F43" s="4" t="str">
        <f t="shared" si="1"/>
        <v/>
      </c>
      <c r="G43" s="4"/>
      <c r="H43" s="4"/>
      <c r="I43" s="5"/>
      <c r="J43" s="4"/>
    </row>
    <row r="44" spans="1:10">
      <c r="A44" s="4"/>
      <c r="B44" s="4"/>
      <c r="C44" s="4"/>
      <c r="D44" s="4"/>
      <c r="E44" s="4"/>
      <c r="F44" s="4" t="str">
        <f t="shared" si="1"/>
        <v/>
      </c>
      <c r="G44" s="4"/>
      <c r="H44" s="4"/>
      <c r="I44" s="5"/>
      <c r="J44" s="4"/>
    </row>
    <row r="45" spans="1:10">
      <c r="A45" s="4"/>
      <c r="B45" s="4"/>
      <c r="C45" s="4"/>
      <c r="D45" s="4"/>
      <c r="E45" s="4"/>
      <c r="F45" s="4" t="str">
        <f t="shared" si="1"/>
        <v/>
      </c>
      <c r="G45" s="4"/>
      <c r="H45" s="4"/>
      <c r="I45" s="5"/>
      <c r="J45" s="4"/>
    </row>
    <row r="46" spans="1:10">
      <c r="A46" s="4"/>
      <c r="B46" s="4"/>
      <c r="C46" s="4"/>
      <c r="D46" s="4"/>
      <c r="E46" s="4"/>
      <c r="F46" s="4" t="str">
        <f t="shared" si="1"/>
        <v/>
      </c>
      <c r="G46" s="4"/>
      <c r="H46" s="4"/>
      <c r="I46" s="5"/>
      <c r="J46" s="4"/>
    </row>
    <row r="47" spans="1:10">
      <c r="A47" s="4"/>
      <c r="B47" s="4"/>
      <c r="C47" s="4"/>
      <c r="D47" s="4"/>
      <c r="E47" s="4"/>
      <c r="F47" s="4" t="str">
        <f t="shared" si="1"/>
        <v/>
      </c>
      <c r="G47" s="4"/>
      <c r="H47" s="4"/>
      <c r="I47" s="5"/>
      <c r="J47" s="4"/>
    </row>
    <row r="48" spans="1:10">
      <c r="A48" s="4"/>
      <c r="B48" s="4"/>
      <c r="C48" s="4"/>
      <c r="D48" s="4"/>
      <c r="E48" s="4"/>
      <c r="F48" s="4" t="str">
        <f t="shared" si="1"/>
        <v/>
      </c>
      <c r="G48" s="4"/>
      <c r="H48" s="4"/>
      <c r="I48" s="5"/>
      <c r="J48" s="4"/>
    </row>
    <row r="49" spans="1:10">
      <c r="A49" s="4"/>
      <c r="B49" s="4"/>
      <c r="C49" s="4"/>
      <c r="D49" s="4"/>
      <c r="E49" s="4"/>
      <c r="F49" s="4" t="str">
        <f t="shared" si="1"/>
        <v/>
      </c>
      <c r="G49" s="4"/>
      <c r="H49" s="4"/>
      <c r="I49" s="5"/>
      <c r="J49" s="4"/>
    </row>
    <row r="50" spans="1:10">
      <c r="A50" s="4"/>
      <c r="B50" s="4"/>
      <c r="C50" s="4"/>
      <c r="D50" s="4"/>
      <c r="E50" s="4"/>
      <c r="F50" s="4" t="str">
        <f t="shared" si="1"/>
        <v/>
      </c>
      <c r="G50" s="4"/>
      <c r="H50" s="4"/>
      <c r="I50" s="5"/>
      <c r="J50" s="4"/>
    </row>
    <row r="51" spans="1:10">
      <c r="A51" s="4"/>
      <c r="B51" s="4"/>
      <c r="C51" s="4"/>
      <c r="D51" s="4"/>
      <c r="E51" s="4"/>
      <c r="F51" s="4" t="str">
        <f t="shared" si="1"/>
        <v/>
      </c>
      <c r="G51" s="4"/>
      <c r="H51" s="4"/>
      <c r="I51" s="5"/>
      <c r="J51" s="4"/>
    </row>
    <row r="52" spans="1:10">
      <c r="A52" s="4"/>
      <c r="B52" s="4"/>
      <c r="C52" s="4"/>
      <c r="D52" s="4"/>
      <c r="E52" s="4"/>
      <c r="F52" s="4" t="str">
        <f t="shared" si="1"/>
        <v/>
      </c>
      <c r="G52" s="4"/>
      <c r="H52" s="4"/>
      <c r="I52" s="5"/>
      <c r="J52" s="4"/>
    </row>
    <row r="53" spans="1:10">
      <c r="A53" s="4"/>
      <c r="B53" s="4"/>
      <c r="C53" s="4"/>
      <c r="D53" s="4"/>
      <c r="E53" s="4"/>
      <c r="F53" s="4" t="str">
        <f t="shared" si="1"/>
        <v/>
      </c>
      <c r="G53" s="4"/>
      <c r="H53" s="4"/>
      <c r="I53" s="5"/>
      <c r="J53" s="4"/>
    </row>
    <row r="54" spans="1:10">
      <c r="A54" s="4"/>
      <c r="B54" s="4"/>
      <c r="C54" s="4"/>
      <c r="D54" s="4"/>
      <c r="E54" s="4"/>
      <c r="F54" s="4" t="str">
        <f t="shared" si="1"/>
        <v/>
      </c>
      <c r="G54" s="4"/>
      <c r="H54" s="4"/>
      <c r="I54" s="5"/>
      <c r="J54" s="4"/>
    </row>
    <row r="55" spans="1:10">
      <c r="A55" s="4"/>
      <c r="B55" s="4"/>
      <c r="C55" s="4"/>
      <c r="D55" s="4"/>
      <c r="E55" s="4"/>
      <c r="F55" s="4" t="str">
        <f t="shared" si="1"/>
        <v/>
      </c>
      <c r="G55" s="4"/>
      <c r="H55" s="4"/>
      <c r="I55" s="5"/>
      <c r="J55" s="4"/>
    </row>
    <row r="56" spans="1:10">
      <c r="A56" s="4"/>
      <c r="B56" s="4"/>
      <c r="C56" s="4"/>
      <c r="D56" s="4"/>
      <c r="E56" s="4"/>
      <c r="F56" s="4" t="str">
        <f t="shared" si="1"/>
        <v/>
      </c>
      <c r="G56" s="4"/>
      <c r="H56" s="4"/>
      <c r="I56" s="5"/>
      <c r="J56" s="4"/>
    </row>
    <row r="57" spans="1:10">
      <c r="A57" s="4"/>
      <c r="B57" s="4"/>
      <c r="C57" s="4"/>
      <c r="D57" s="4"/>
      <c r="E57" s="4"/>
      <c r="F57" s="4" t="str">
        <f t="shared" si="1"/>
        <v/>
      </c>
      <c r="G57" s="4"/>
      <c r="H57" s="4"/>
      <c r="I57" s="5"/>
      <c r="J57" s="4"/>
    </row>
    <row r="58" spans="1:10">
      <c r="A58" s="4"/>
      <c r="B58" s="4"/>
      <c r="C58" s="4"/>
      <c r="D58" s="4"/>
      <c r="E58" s="4"/>
      <c r="F58" s="4" t="str">
        <f t="shared" si="1"/>
        <v/>
      </c>
      <c r="G58" s="4"/>
      <c r="H58" s="4"/>
      <c r="I58" s="5"/>
      <c r="J58" s="4"/>
    </row>
    <row r="59" spans="1:10">
      <c r="A59" s="4"/>
      <c r="B59" s="4"/>
      <c r="C59" s="4"/>
      <c r="D59" s="4"/>
      <c r="E59" s="4"/>
      <c r="F59" s="4" t="str">
        <f t="shared" si="1"/>
        <v/>
      </c>
      <c r="G59" s="4"/>
      <c r="H59" s="4"/>
      <c r="I59" s="5"/>
      <c r="J59" s="4"/>
    </row>
    <row r="60" spans="1:10">
      <c r="A60" s="4"/>
      <c r="B60" s="4"/>
      <c r="C60" s="4"/>
      <c r="D60" s="4"/>
      <c r="E60" s="4"/>
      <c r="F60" s="4" t="str">
        <f t="shared" si="1"/>
        <v/>
      </c>
      <c r="G60" s="4"/>
      <c r="H60" s="4"/>
      <c r="I60" s="5"/>
      <c r="J60" s="4"/>
    </row>
    <row r="61" spans="1:10">
      <c r="A61" s="4"/>
      <c r="B61" s="4"/>
      <c r="C61" s="4"/>
      <c r="D61" s="4"/>
      <c r="E61" s="4"/>
      <c r="F61" s="4" t="str">
        <f t="shared" si="1"/>
        <v/>
      </c>
      <c r="G61" s="4"/>
      <c r="H61" s="4"/>
      <c r="I61" s="5"/>
      <c r="J61" s="4"/>
    </row>
    <row r="62" spans="1:10">
      <c r="A62" s="4"/>
      <c r="B62" s="4"/>
      <c r="C62" s="4"/>
      <c r="D62" s="4"/>
      <c r="E62" s="4"/>
      <c r="F62" s="4" t="str">
        <f t="shared" si="1"/>
        <v/>
      </c>
      <c r="G62" s="4"/>
      <c r="H62" s="4"/>
      <c r="I62" s="5"/>
      <c r="J62" s="4"/>
    </row>
    <row r="63" spans="1:10">
      <c r="A63" s="4"/>
      <c r="B63" s="4"/>
      <c r="C63" s="4"/>
      <c r="D63" s="4"/>
      <c r="E63" s="4"/>
      <c r="F63" s="4" t="str">
        <f t="shared" si="1"/>
        <v/>
      </c>
      <c r="G63" s="4"/>
      <c r="H63" s="4"/>
      <c r="I63" s="5"/>
      <c r="J63" s="4"/>
    </row>
    <row r="64" spans="1:10">
      <c r="A64" s="4"/>
      <c r="B64" s="4"/>
      <c r="C64" s="4"/>
      <c r="D64" s="4"/>
      <c r="E64" s="4"/>
      <c r="F64" s="4" t="str">
        <f t="shared" si="1"/>
        <v/>
      </c>
      <c r="G64" s="4"/>
      <c r="H64" s="4"/>
      <c r="I64" s="5"/>
      <c r="J64" s="4"/>
    </row>
    <row r="65" spans="1:10">
      <c r="A65" s="4"/>
      <c r="B65" s="4"/>
      <c r="C65" s="4"/>
      <c r="D65" s="4"/>
      <c r="E65" s="4"/>
      <c r="F65" s="4" t="str">
        <f t="shared" si="1"/>
        <v/>
      </c>
      <c r="G65" s="4"/>
      <c r="H65" s="4"/>
      <c r="I65" s="5"/>
      <c r="J65" s="4"/>
    </row>
    <row r="66" spans="1:10">
      <c r="A66" s="4"/>
      <c r="B66" s="4"/>
      <c r="C66" s="4"/>
      <c r="D66" s="4"/>
      <c r="E66" s="4"/>
      <c r="F66" s="4" t="str">
        <f t="shared" si="1"/>
        <v/>
      </c>
      <c r="G66" s="4"/>
      <c r="H66" s="4"/>
      <c r="I66" s="5"/>
      <c r="J66" s="4"/>
    </row>
    <row r="67" spans="1:10">
      <c r="A67" s="4"/>
      <c r="B67" s="4"/>
      <c r="C67" s="4"/>
      <c r="D67" s="4"/>
      <c r="E67" s="4"/>
      <c r="F67" s="4" t="str">
        <f t="shared" si="1"/>
        <v/>
      </c>
      <c r="G67" s="4"/>
      <c r="H67" s="4"/>
      <c r="I67" s="5"/>
      <c r="J67" s="4"/>
    </row>
    <row r="68" spans="1:10">
      <c r="A68" s="4"/>
      <c r="B68" s="4"/>
      <c r="C68" s="4"/>
      <c r="D68" s="4"/>
      <c r="E68" s="4"/>
      <c r="F68" s="4" t="str">
        <f t="shared" si="1"/>
        <v/>
      </c>
      <c r="G68" s="4"/>
      <c r="H68" s="4"/>
      <c r="I68" s="5"/>
      <c r="J68" s="4"/>
    </row>
    <row r="69" spans="1:10">
      <c r="A69" s="4"/>
      <c r="B69" s="4"/>
      <c r="C69" s="4"/>
      <c r="D69" s="4"/>
      <c r="E69" s="4"/>
      <c r="F69" s="4" t="str">
        <f t="shared" ref="F69:F100" si="2">IF(D69="", "", (IF(D69="Low",1,IF(D69="Medium",2,IF(D69="High",3,0)))) * (IF(E69="Low",1,IF(E69="Medium",2,IF(E69="High",3,0)))))</f>
        <v/>
      </c>
      <c r="G69" s="4"/>
      <c r="H69" s="4"/>
      <c r="I69" s="5"/>
      <c r="J69" s="4"/>
    </row>
    <row r="70" spans="1:10">
      <c r="A70" s="4"/>
      <c r="B70" s="4"/>
      <c r="C70" s="4"/>
      <c r="D70" s="4"/>
      <c r="E70" s="4"/>
      <c r="F70" s="4" t="str">
        <f t="shared" si="2"/>
        <v/>
      </c>
      <c r="G70" s="4"/>
      <c r="H70" s="4"/>
      <c r="I70" s="5"/>
      <c r="J70" s="4"/>
    </row>
    <row r="71" spans="1:10">
      <c r="A71" s="4"/>
      <c r="B71" s="4"/>
      <c r="C71" s="4"/>
      <c r="D71" s="4"/>
      <c r="E71" s="4"/>
      <c r="F71" s="4" t="str">
        <f t="shared" si="2"/>
        <v/>
      </c>
      <c r="G71" s="4"/>
      <c r="H71" s="4"/>
      <c r="I71" s="5"/>
      <c r="J71" s="4"/>
    </row>
    <row r="72" spans="1:10">
      <c r="A72" s="4"/>
      <c r="B72" s="4"/>
      <c r="C72" s="4"/>
      <c r="D72" s="4"/>
      <c r="E72" s="4"/>
      <c r="F72" s="4" t="str">
        <f t="shared" si="2"/>
        <v/>
      </c>
      <c r="G72" s="4"/>
      <c r="H72" s="4"/>
      <c r="I72" s="5"/>
      <c r="J72" s="4"/>
    </row>
    <row r="73" spans="1:10">
      <c r="A73" s="4"/>
      <c r="B73" s="4"/>
      <c r="C73" s="4"/>
      <c r="D73" s="4"/>
      <c r="E73" s="4"/>
      <c r="F73" s="4" t="str">
        <f t="shared" si="2"/>
        <v/>
      </c>
      <c r="G73" s="4"/>
      <c r="H73" s="4"/>
      <c r="I73" s="5"/>
      <c r="J73" s="4"/>
    </row>
    <row r="74" spans="1:10">
      <c r="A74" s="4"/>
      <c r="B74" s="4"/>
      <c r="C74" s="4"/>
      <c r="D74" s="4"/>
      <c r="E74" s="4"/>
      <c r="F74" s="4" t="str">
        <f t="shared" si="2"/>
        <v/>
      </c>
      <c r="G74" s="4"/>
      <c r="H74" s="4"/>
      <c r="I74" s="5"/>
      <c r="J74" s="4"/>
    </row>
    <row r="75" spans="1:10">
      <c r="A75" s="4"/>
      <c r="B75" s="4"/>
      <c r="C75" s="4"/>
      <c r="D75" s="4"/>
      <c r="E75" s="4"/>
      <c r="F75" s="4" t="str">
        <f t="shared" si="2"/>
        <v/>
      </c>
      <c r="G75" s="4"/>
      <c r="H75" s="4"/>
      <c r="I75" s="5"/>
      <c r="J75" s="4"/>
    </row>
    <row r="76" spans="1:10">
      <c r="A76" s="4"/>
      <c r="B76" s="4"/>
      <c r="C76" s="4"/>
      <c r="D76" s="4"/>
      <c r="E76" s="4"/>
      <c r="F76" s="4" t="str">
        <f t="shared" si="2"/>
        <v/>
      </c>
      <c r="G76" s="4"/>
      <c r="H76" s="4"/>
      <c r="I76" s="5"/>
      <c r="J76" s="4"/>
    </row>
    <row r="77" spans="1:10">
      <c r="A77" s="4"/>
      <c r="B77" s="4"/>
      <c r="C77" s="4"/>
      <c r="D77" s="4"/>
      <c r="E77" s="4"/>
      <c r="F77" s="4" t="str">
        <f t="shared" si="2"/>
        <v/>
      </c>
      <c r="G77" s="4"/>
      <c r="H77" s="4"/>
      <c r="I77" s="5"/>
      <c r="J77" s="4"/>
    </row>
    <row r="78" spans="1:10">
      <c r="A78" s="4"/>
      <c r="B78" s="4"/>
      <c r="C78" s="4"/>
      <c r="D78" s="4"/>
      <c r="E78" s="4"/>
      <c r="F78" s="4" t="str">
        <f t="shared" si="2"/>
        <v/>
      </c>
      <c r="G78" s="4"/>
      <c r="H78" s="4"/>
      <c r="I78" s="5"/>
      <c r="J78" s="4"/>
    </row>
    <row r="79" spans="1:10">
      <c r="A79" s="4"/>
      <c r="B79" s="4"/>
      <c r="C79" s="4"/>
      <c r="D79" s="4"/>
      <c r="E79" s="4"/>
      <c r="F79" s="4" t="str">
        <f t="shared" si="2"/>
        <v/>
      </c>
      <c r="G79" s="4"/>
      <c r="H79" s="4"/>
      <c r="I79" s="5"/>
      <c r="J79" s="4"/>
    </row>
    <row r="80" spans="1:10">
      <c r="A80" s="4"/>
      <c r="B80" s="4"/>
      <c r="C80" s="4"/>
      <c r="D80" s="4"/>
      <c r="E80" s="4"/>
      <c r="F80" s="4" t="str">
        <f t="shared" si="2"/>
        <v/>
      </c>
      <c r="G80" s="4"/>
      <c r="H80" s="4"/>
      <c r="I80" s="5"/>
      <c r="J80" s="4"/>
    </row>
    <row r="81" spans="1:10">
      <c r="A81" s="4"/>
      <c r="B81" s="4"/>
      <c r="C81" s="4"/>
      <c r="D81" s="4"/>
      <c r="E81" s="4"/>
      <c r="F81" s="4" t="str">
        <f t="shared" si="2"/>
        <v/>
      </c>
      <c r="G81" s="4"/>
      <c r="H81" s="4"/>
      <c r="I81" s="5"/>
      <c r="J81" s="4"/>
    </row>
    <row r="82" spans="1:10">
      <c r="A82" s="4"/>
      <c r="B82" s="4"/>
      <c r="C82" s="4"/>
      <c r="D82" s="4"/>
      <c r="E82" s="4"/>
      <c r="F82" s="4" t="str">
        <f t="shared" si="2"/>
        <v/>
      </c>
      <c r="G82" s="4"/>
      <c r="H82" s="4"/>
      <c r="I82" s="5"/>
      <c r="J82" s="4"/>
    </row>
    <row r="83" spans="1:10">
      <c r="A83" s="4"/>
      <c r="B83" s="4"/>
      <c r="C83" s="4"/>
      <c r="D83" s="4"/>
      <c r="E83" s="4"/>
      <c r="F83" s="4" t="str">
        <f t="shared" si="2"/>
        <v/>
      </c>
      <c r="G83" s="4"/>
      <c r="H83" s="4"/>
      <c r="I83" s="5"/>
      <c r="J83" s="4"/>
    </row>
    <row r="84" spans="1:10">
      <c r="A84" s="4"/>
      <c r="B84" s="4"/>
      <c r="C84" s="4"/>
      <c r="D84" s="4"/>
      <c r="E84" s="4"/>
      <c r="F84" s="4" t="str">
        <f t="shared" si="2"/>
        <v/>
      </c>
      <c r="G84" s="4"/>
      <c r="H84" s="4"/>
      <c r="I84" s="5"/>
      <c r="J84" s="4"/>
    </row>
    <row r="85" spans="1:10">
      <c r="A85" s="4"/>
      <c r="B85" s="4"/>
      <c r="C85" s="4"/>
      <c r="D85" s="4"/>
      <c r="E85" s="4"/>
      <c r="F85" s="4" t="str">
        <f t="shared" si="2"/>
        <v/>
      </c>
      <c r="G85" s="4"/>
      <c r="H85" s="4"/>
      <c r="I85" s="5"/>
      <c r="J85" s="4"/>
    </row>
    <row r="86" spans="1:10">
      <c r="A86" s="4"/>
      <c r="B86" s="4"/>
      <c r="C86" s="4"/>
      <c r="D86" s="4"/>
      <c r="E86" s="4"/>
      <c r="F86" s="4" t="str">
        <f t="shared" si="2"/>
        <v/>
      </c>
      <c r="G86" s="4"/>
      <c r="H86" s="4"/>
      <c r="I86" s="5"/>
      <c r="J86" s="4"/>
    </row>
    <row r="87" spans="1:10">
      <c r="A87" s="4"/>
      <c r="B87" s="4"/>
      <c r="C87" s="4"/>
      <c r="D87" s="4"/>
      <c r="E87" s="4"/>
      <c r="F87" s="4" t="str">
        <f t="shared" si="2"/>
        <v/>
      </c>
      <c r="G87" s="4"/>
      <c r="H87" s="4"/>
      <c r="I87" s="5"/>
      <c r="J87" s="4"/>
    </row>
    <row r="88" spans="1:10">
      <c r="A88" s="4"/>
      <c r="B88" s="4"/>
      <c r="C88" s="4"/>
      <c r="D88" s="4"/>
      <c r="E88" s="4"/>
      <c r="F88" s="4" t="str">
        <f t="shared" si="2"/>
        <v/>
      </c>
      <c r="G88" s="4"/>
      <c r="H88" s="4"/>
      <c r="I88" s="5"/>
      <c r="J88" s="4"/>
    </row>
    <row r="89" spans="1:10">
      <c r="A89" s="4"/>
      <c r="B89" s="4"/>
      <c r="C89" s="4"/>
      <c r="D89" s="4"/>
      <c r="E89" s="4"/>
      <c r="F89" s="4" t="str">
        <f t="shared" si="2"/>
        <v/>
      </c>
      <c r="G89" s="4"/>
      <c r="H89" s="4"/>
      <c r="I89" s="5"/>
      <c r="J89" s="4"/>
    </row>
    <row r="90" spans="1:10">
      <c r="A90" s="4"/>
      <c r="B90" s="4"/>
      <c r="C90" s="4"/>
      <c r="D90" s="4"/>
      <c r="E90" s="4"/>
      <c r="F90" s="4" t="str">
        <f t="shared" si="2"/>
        <v/>
      </c>
      <c r="G90" s="4"/>
      <c r="H90" s="4"/>
      <c r="I90" s="5"/>
      <c r="J90" s="4"/>
    </row>
    <row r="91" spans="1:10">
      <c r="A91" s="4"/>
      <c r="B91" s="4"/>
      <c r="C91" s="4"/>
      <c r="D91" s="4"/>
      <c r="E91" s="4"/>
      <c r="F91" s="4" t="str">
        <f t="shared" si="2"/>
        <v/>
      </c>
      <c r="G91" s="4"/>
      <c r="H91" s="4"/>
      <c r="I91" s="5"/>
      <c r="J91" s="4"/>
    </row>
    <row r="92" spans="1:10">
      <c r="A92" s="4"/>
      <c r="B92" s="4"/>
      <c r="C92" s="4"/>
      <c r="D92" s="4"/>
      <c r="E92" s="4"/>
      <c r="F92" s="4" t="str">
        <f t="shared" si="2"/>
        <v/>
      </c>
      <c r="G92" s="4"/>
      <c r="H92" s="4"/>
      <c r="I92" s="5"/>
      <c r="J92" s="4"/>
    </row>
    <row r="93" spans="1:10">
      <c r="A93" s="4"/>
      <c r="B93" s="4"/>
      <c r="C93" s="4"/>
      <c r="D93" s="4"/>
      <c r="E93" s="4"/>
      <c r="F93" s="4" t="str">
        <f t="shared" si="2"/>
        <v/>
      </c>
      <c r="G93" s="4"/>
      <c r="H93" s="4"/>
      <c r="I93" s="5"/>
      <c r="J93" s="4"/>
    </row>
    <row r="94" spans="1:10">
      <c r="A94" s="4"/>
      <c r="B94" s="4"/>
      <c r="C94" s="4"/>
      <c r="D94" s="4"/>
      <c r="E94" s="4"/>
      <c r="F94" s="4" t="str">
        <f t="shared" si="2"/>
        <v/>
      </c>
      <c r="G94" s="4"/>
      <c r="H94" s="4"/>
      <c r="I94" s="5"/>
      <c r="J94" s="4"/>
    </row>
    <row r="95" spans="1:10">
      <c r="A95" s="4"/>
      <c r="B95" s="4"/>
      <c r="C95" s="4"/>
      <c r="D95" s="4"/>
      <c r="E95" s="4"/>
      <c r="F95" s="4" t="str">
        <f t="shared" si="2"/>
        <v/>
      </c>
      <c r="G95" s="4"/>
      <c r="H95" s="4"/>
      <c r="I95" s="5"/>
      <c r="J95" s="4"/>
    </row>
    <row r="96" spans="1:10">
      <c r="A96" s="4"/>
      <c r="B96" s="4"/>
      <c r="C96" s="4"/>
      <c r="D96" s="4"/>
      <c r="E96" s="4"/>
      <c r="F96" s="4" t="str">
        <f t="shared" si="2"/>
        <v/>
      </c>
      <c r="G96" s="4"/>
      <c r="H96" s="4"/>
      <c r="I96" s="5"/>
      <c r="J96" s="4"/>
    </row>
    <row r="97" spans="1:10">
      <c r="A97" s="4"/>
      <c r="B97" s="4"/>
      <c r="C97" s="4"/>
      <c r="D97" s="4"/>
      <c r="E97" s="4"/>
      <c r="F97" s="4" t="str">
        <f t="shared" si="2"/>
        <v/>
      </c>
      <c r="G97" s="4"/>
      <c r="H97" s="4"/>
      <c r="I97" s="5"/>
      <c r="J97" s="4"/>
    </row>
    <row r="98" spans="1:10">
      <c r="A98" s="4"/>
      <c r="B98" s="4"/>
      <c r="C98" s="4"/>
      <c r="D98" s="4"/>
      <c r="E98" s="4"/>
      <c r="F98" s="4" t="str">
        <f t="shared" si="2"/>
        <v/>
      </c>
      <c r="G98" s="4"/>
      <c r="H98" s="4"/>
      <c r="I98" s="5"/>
      <c r="J98" s="4"/>
    </row>
    <row r="99" spans="1:10">
      <c r="A99" s="4"/>
      <c r="B99" s="4"/>
      <c r="C99" s="4"/>
      <c r="D99" s="4"/>
      <c r="E99" s="4"/>
      <c r="F99" s="4" t="str">
        <f t="shared" si="2"/>
        <v/>
      </c>
      <c r="G99" s="4"/>
      <c r="H99" s="4"/>
      <c r="I99" s="5"/>
      <c r="J99" s="4"/>
    </row>
    <row r="100" spans="1:10">
      <c r="A100" s="4"/>
      <c r="B100" s="4"/>
      <c r="C100" s="4"/>
      <c r="D100" s="4"/>
      <c r="E100" s="4"/>
      <c r="F100" s="4" t="str">
        <f t="shared" si="2"/>
        <v/>
      </c>
      <c r="G100" s="4"/>
      <c r="H100" s="4"/>
      <c r="I100" s="5"/>
      <c r="J100" s="4"/>
    </row>
    <row r="101" spans="1:10">
      <c r="A101" s="4"/>
      <c r="B101" s="4"/>
      <c r="C101" s="4"/>
      <c r="D101" s="4"/>
      <c r="E101" s="4"/>
      <c r="F101" s="4" t="str">
        <f t="shared" ref="F101:F132" si="3">IF(D101="", "", (IF(D101="Low",1,IF(D101="Medium",2,IF(D101="High",3,0)))) * (IF(E101="Low",1,IF(E101="Medium",2,IF(E101="High",3,0)))))</f>
        <v/>
      </c>
      <c r="G101" s="4"/>
      <c r="H101" s="4"/>
      <c r="I101" s="5"/>
      <c r="J101" s="4"/>
    </row>
    <row r="102" spans="1:10">
      <c r="A102" s="4"/>
      <c r="B102" s="4"/>
      <c r="C102" s="4"/>
      <c r="D102" s="4"/>
      <c r="E102" s="4"/>
      <c r="F102" s="4" t="str">
        <f t="shared" si="3"/>
        <v/>
      </c>
      <c r="G102" s="4"/>
      <c r="H102" s="4"/>
      <c r="I102" s="5"/>
      <c r="J102" s="4"/>
    </row>
    <row r="103" spans="1:10">
      <c r="A103" s="4"/>
      <c r="B103" s="4"/>
      <c r="C103" s="4"/>
      <c r="D103" s="4"/>
      <c r="E103" s="4"/>
      <c r="F103" s="4" t="str">
        <f t="shared" si="3"/>
        <v/>
      </c>
      <c r="G103" s="4"/>
      <c r="H103" s="4"/>
      <c r="I103" s="5"/>
      <c r="J103" s="4"/>
    </row>
    <row r="104" spans="1:10">
      <c r="A104" s="4"/>
      <c r="B104" s="4"/>
      <c r="C104" s="4"/>
      <c r="D104" s="4"/>
      <c r="E104" s="4"/>
      <c r="F104" s="4" t="str">
        <f t="shared" si="3"/>
        <v/>
      </c>
      <c r="G104" s="4"/>
      <c r="H104" s="4"/>
      <c r="I104" s="5"/>
      <c r="J104" s="4"/>
    </row>
    <row r="105" spans="1:10">
      <c r="A105" s="4"/>
      <c r="B105" s="4"/>
      <c r="C105" s="4"/>
      <c r="D105" s="4"/>
      <c r="E105" s="4"/>
      <c r="F105" s="4" t="str">
        <f t="shared" si="3"/>
        <v/>
      </c>
      <c r="G105" s="4"/>
      <c r="H105" s="4"/>
      <c r="I105" s="5"/>
      <c r="J105" s="4"/>
    </row>
    <row r="106" spans="1:10">
      <c r="A106" s="4"/>
      <c r="B106" s="4"/>
      <c r="C106" s="4"/>
      <c r="D106" s="4"/>
      <c r="E106" s="4"/>
      <c r="F106" s="4" t="str">
        <f t="shared" si="3"/>
        <v/>
      </c>
      <c r="G106" s="4"/>
      <c r="H106" s="4"/>
      <c r="I106" s="5"/>
      <c r="J106" s="4"/>
    </row>
    <row r="107" spans="1:10">
      <c r="A107" s="4"/>
      <c r="B107" s="4"/>
      <c r="C107" s="4"/>
      <c r="D107" s="4"/>
      <c r="E107" s="4"/>
      <c r="F107" s="4" t="str">
        <f t="shared" si="3"/>
        <v/>
      </c>
      <c r="G107" s="4"/>
      <c r="H107" s="4"/>
      <c r="I107" s="5"/>
      <c r="J107" s="4"/>
    </row>
    <row r="108" spans="1:10">
      <c r="A108" s="4"/>
      <c r="B108" s="4"/>
      <c r="C108" s="4"/>
      <c r="D108" s="4"/>
      <c r="E108" s="4"/>
      <c r="F108" s="4" t="str">
        <f t="shared" si="3"/>
        <v/>
      </c>
      <c r="G108" s="4"/>
      <c r="H108" s="4"/>
      <c r="I108" s="5"/>
      <c r="J108" s="4"/>
    </row>
    <row r="109" spans="1:10">
      <c r="A109" s="4"/>
      <c r="B109" s="4"/>
      <c r="C109" s="4"/>
      <c r="D109" s="4"/>
      <c r="E109" s="4"/>
      <c r="F109" s="4" t="str">
        <f t="shared" si="3"/>
        <v/>
      </c>
      <c r="G109" s="4"/>
      <c r="H109" s="4"/>
      <c r="I109" s="5"/>
      <c r="J109" s="4"/>
    </row>
    <row r="110" spans="1:10">
      <c r="A110" s="4"/>
      <c r="B110" s="4"/>
      <c r="C110" s="4"/>
      <c r="D110" s="4"/>
      <c r="E110" s="4"/>
      <c r="F110" s="4" t="str">
        <f t="shared" si="3"/>
        <v/>
      </c>
      <c r="G110" s="4"/>
      <c r="H110" s="4"/>
      <c r="I110" s="5"/>
      <c r="J110" s="4"/>
    </row>
    <row r="111" spans="1:10">
      <c r="A111" s="4"/>
      <c r="B111" s="4"/>
      <c r="C111" s="4"/>
      <c r="D111" s="4"/>
      <c r="E111" s="4"/>
      <c r="F111" s="4" t="str">
        <f t="shared" si="3"/>
        <v/>
      </c>
      <c r="G111" s="4"/>
      <c r="H111" s="4"/>
      <c r="I111" s="5"/>
      <c r="J111" s="4"/>
    </row>
    <row r="112" spans="1:10">
      <c r="A112" s="4"/>
      <c r="B112" s="4"/>
      <c r="C112" s="4"/>
      <c r="D112" s="4"/>
      <c r="E112" s="4"/>
      <c r="F112" s="4" t="str">
        <f t="shared" si="3"/>
        <v/>
      </c>
      <c r="G112" s="4"/>
      <c r="H112" s="4"/>
      <c r="I112" s="5"/>
      <c r="J112" s="4"/>
    </row>
    <row r="113" spans="1:10">
      <c r="A113" s="4"/>
      <c r="B113" s="4"/>
      <c r="C113" s="4"/>
      <c r="D113" s="4"/>
      <c r="E113" s="4"/>
      <c r="F113" s="4" t="str">
        <f t="shared" si="3"/>
        <v/>
      </c>
      <c r="G113" s="4"/>
      <c r="H113" s="4"/>
      <c r="I113" s="5"/>
      <c r="J113" s="4"/>
    </row>
    <row r="114" spans="1:10">
      <c r="A114" s="4"/>
      <c r="B114" s="4"/>
      <c r="C114" s="4"/>
      <c r="D114" s="4"/>
      <c r="E114" s="4"/>
      <c r="F114" s="4" t="str">
        <f t="shared" si="3"/>
        <v/>
      </c>
      <c r="G114" s="4"/>
      <c r="H114" s="4"/>
      <c r="I114" s="5"/>
      <c r="J114" s="4"/>
    </row>
    <row r="115" spans="1:10">
      <c r="A115" s="4"/>
      <c r="B115" s="4"/>
      <c r="C115" s="4"/>
      <c r="D115" s="4"/>
      <c r="E115" s="4"/>
      <c r="F115" s="4" t="str">
        <f t="shared" si="3"/>
        <v/>
      </c>
      <c r="G115" s="4"/>
      <c r="H115" s="4"/>
      <c r="I115" s="5"/>
      <c r="J115" s="4"/>
    </row>
    <row r="116" spans="1:10">
      <c r="A116" s="4"/>
      <c r="B116" s="4"/>
      <c r="C116" s="4"/>
      <c r="D116" s="4"/>
      <c r="E116" s="4"/>
      <c r="F116" s="4" t="str">
        <f t="shared" si="3"/>
        <v/>
      </c>
      <c r="G116" s="4"/>
      <c r="H116" s="4"/>
      <c r="I116" s="5"/>
      <c r="J116" s="4"/>
    </row>
    <row r="117" spans="1:10">
      <c r="A117" s="4"/>
      <c r="B117" s="4"/>
      <c r="C117" s="4"/>
      <c r="D117" s="4"/>
      <c r="E117" s="4"/>
      <c r="F117" s="4" t="str">
        <f t="shared" si="3"/>
        <v/>
      </c>
      <c r="G117" s="4"/>
      <c r="H117" s="4"/>
      <c r="I117" s="5"/>
      <c r="J117" s="4"/>
    </row>
    <row r="118" spans="1:10">
      <c r="A118" s="4"/>
      <c r="B118" s="4"/>
      <c r="C118" s="4"/>
      <c r="D118" s="4"/>
      <c r="E118" s="4"/>
      <c r="F118" s="4" t="str">
        <f t="shared" si="3"/>
        <v/>
      </c>
      <c r="G118" s="4"/>
      <c r="H118" s="4"/>
      <c r="I118" s="5"/>
      <c r="J118" s="4"/>
    </row>
    <row r="119" spans="1:10">
      <c r="A119" s="4"/>
      <c r="B119" s="4"/>
      <c r="C119" s="4"/>
      <c r="D119" s="4"/>
      <c r="E119" s="4"/>
      <c r="F119" s="4" t="str">
        <f t="shared" si="3"/>
        <v/>
      </c>
      <c r="G119" s="4"/>
      <c r="H119" s="4"/>
      <c r="I119" s="5"/>
      <c r="J119" s="4"/>
    </row>
    <row r="120" spans="1:10">
      <c r="A120" s="4"/>
      <c r="B120" s="4"/>
      <c r="C120" s="4"/>
      <c r="D120" s="4"/>
      <c r="E120" s="4"/>
      <c r="F120" s="4" t="str">
        <f t="shared" si="3"/>
        <v/>
      </c>
      <c r="G120" s="4"/>
      <c r="H120" s="4"/>
      <c r="I120" s="5"/>
      <c r="J120" s="4"/>
    </row>
    <row r="121" spans="1:10">
      <c r="A121" s="4"/>
      <c r="B121" s="4"/>
      <c r="C121" s="4"/>
      <c r="D121" s="4"/>
      <c r="E121" s="4"/>
      <c r="F121" s="4" t="str">
        <f t="shared" si="3"/>
        <v/>
      </c>
      <c r="G121" s="4"/>
      <c r="H121" s="4"/>
      <c r="I121" s="5"/>
      <c r="J121" s="4"/>
    </row>
    <row r="122" spans="1:10">
      <c r="A122" s="4"/>
      <c r="B122" s="4"/>
      <c r="C122" s="4"/>
      <c r="D122" s="4"/>
      <c r="E122" s="4"/>
      <c r="F122" s="4" t="str">
        <f t="shared" si="3"/>
        <v/>
      </c>
      <c r="G122" s="4"/>
      <c r="H122" s="4"/>
      <c r="I122" s="5"/>
      <c r="J122" s="4"/>
    </row>
    <row r="123" spans="1:10">
      <c r="A123" s="4"/>
      <c r="B123" s="4"/>
      <c r="C123" s="4"/>
      <c r="D123" s="4"/>
      <c r="E123" s="4"/>
      <c r="F123" s="4" t="str">
        <f t="shared" si="3"/>
        <v/>
      </c>
      <c r="G123" s="4"/>
      <c r="H123" s="4"/>
      <c r="I123" s="5"/>
      <c r="J123" s="4"/>
    </row>
    <row r="124" spans="1:10">
      <c r="A124" s="4"/>
      <c r="B124" s="4"/>
      <c r="C124" s="4"/>
      <c r="D124" s="4"/>
      <c r="E124" s="4"/>
      <c r="F124" s="4" t="str">
        <f t="shared" si="3"/>
        <v/>
      </c>
      <c r="G124" s="4"/>
      <c r="H124" s="4"/>
      <c r="I124" s="5"/>
      <c r="J124" s="4"/>
    </row>
    <row r="125" spans="1:10">
      <c r="A125" s="4"/>
      <c r="B125" s="4"/>
      <c r="C125" s="4"/>
      <c r="D125" s="4"/>
      <c r="E125" s="4"/>
      <c r="F125" s="4" t="str">
        <f t="shared" si="3"/>
        <v/>
      </c>
      <c r="G125" s="4"/>
      <c r="H125" s="4"/>
      <c r="I125" s="5"/>
      <c r="J125" s="4"/>
    </row>
    <row r="126" spans="1:10">
      <c r="A126" s="4"/>
      <c r="B126" s="4"/>
      <c r="C126" s="4"/>
      <c r="D126" s="4"/>
      <c r="E126" s="4"/>
      <c r="F126" s="4" t="str">
        <f t="shared" si="3"/>
        <v/>
      </c>
      <c r="G126" s="4"/>
      <c r="H126" s="4"/>
      <c r="I126" s="5"/>
      <c r="J126" s="4"/>
    </row>
    <row r="127" spans="1:10">
      <c r="A127" s="4"/>
      <c r="B127" s="4"/>
      <c r="C127" s="4"/>
      <c r="D127" s="4"/>
      <c r="E127" s="4"/>
      <c r="F127" s="4" t="str">
        <f t="shared" si="3"/>
        <v/>
      </c>
      <c r="G127" s="4"/>
      <c r="H127" s="4"/>
      <c r="I127" s="5"/>
      <c r="J127" s="4"/>
    </row>
    <row r="128" spans="1:10">
      <c r="A128" s="4"/>
      <c r="B128" s="4"/>
      <c r="C128" s="4"/>
      <c r="D128" s="4"/>
      <c r="E128" s="4"/>
      <c r="F128" s="4" t="str">
        <f t="shared" si="3"/>
        <v/>
      </c>
      <c r="G128" s="4"/>
      <c r="H128" s="4"/>
      <c r="I128" s="5"/>
      <c r="J128" s="4"/>
    </row>
    <row r="129" spans="1:10">
      <c r="A129" s="4"/>
      <c r="B129" s="4"/>
      <c r="C129" s="4"/>
      <c r="D129" s="4"/>
      <c r="E129" s="4"/>
      <c r="F129" s="4" t="str">
        <f t="shared" si="3"/>
        <v/>
      </c>
      <c r="G129" s="4"/>
      <c r="H129" s="4"/>
      <c r="I129" s="5"/>
      <c r="J129" s="4"/>
    </row>
    <row r="130" spans="1:10">
      <c r="A130" s="4"/>
      <c r="B130" s="4"/>
      <c r="C130" s="4"/>
      <c r="D130" s="4"/>
      <c r="E130" s="4"/>
      <c r="F130" s="4" t="str">
        <f t="shared" si="3"/>
        <v/>
      </c>
      <c r="G130" s="4"/>
      <c r="H130" s="4"/>
      <c r="I130" s="5"/>
      <c r="J130" s="4"/>
    </row>
    <row r="131" spans="1:10">
      <c r="A131" s="4"/>
      <c r="B131" s="4"/>
      <c r="C131" s="4"/>
      <c r="D131" s="4"/>
      <c r="E131" s="4"/>
      <c r="F131" s="4" t="str">
        <f t="shared" si="3"/>
        <v/>
      </c>
      <c r="G131" s="4"/>
      <c r="H131" s="4"/>
      <c r="I131" s="5"/>
      <c r="J131" s="4"/>
    </row>
    <row r="132" spans="1:10">
      <c r="A132" s="4"/>
      <c r="B132" s="4"/>
      <c r="C132" s="4"/>
      <c r="D132" s="4"/>
      <c r="E132" s="4"/>
      <c r="F132" s="4" t="str">
        <f t="shared" si="3"/>
        <v/>
      </c>
      <c r="G132" s="4"/>
      <c r="H132" s="4"/>
      <c r="I132" s="5"/>
      <c r="J132" s="4"/>
    </row>
    <row r="133" spans="1:10">
      <c r="A133" s="4"/>
      <c r="B133" s="4"/>
      <c r="C133" s="4"/>
      <c r="D133" s="4"/>
      <c r="E133" s="4"/>
      <c r="F133" s="4" t="str">
        <f t="shared" ref="F133:F164" si="4">IF(D133="", "", (IF(D133="Low",1,IF(D133="Medium",2,IF(D133="High",3,0)))) * (IF(E133="Low",1,IF(E133="Medium",2,IF(E133="High",3,0)))))</f>
        <v/>
      </c>
      <c r="G133" s="4"/>
      <c r="H133" s="4"/>
      <c r="I133" s="5"/>
      <c r="J133" s="4"/>
    </row>
    <row r="134" spans="1:10">
      <c r="A134" s="4"/>
      <c r="B134" s="4"/>
      <c r="C134" s="4"/>
      <c r="D134" s="4"/>
      <c r="E134" s="4"/>
      <c r="F134" s="4" t="str">
        <f t="shared" si="4"/>
        <v/>
      </c>
      <c r="G134" s="4"/>
      <c r="H134" s="4"/>
      <c r="I134" s="5"/>
      <c r="J134" s="4"/>
    </row>
    <row r="135" spans="1:10">
      <c r="A135" s="4"/>
      <c r="B135" s="4"/>
      <c r="C135" s="4"/>
      <c r="D135" s="4"/>
      <c r="E135" s="4"/>
      <c r="F135" s="4" t="str">
        <f t="shared" si="4"/>
        <v/>
      </c>
      <c r="G135" s="4"/>
      <c r="H135" s="4"/>
      <c r="I135" s="5"/>
      <c r="J135" s="4"/>
    </row>
    <row r="136" spans="1:10">
      <c r="A136" s="4"/>
      <c r="B136" s="4"/>
      <c r="C136" s="4"/>
      <c r="D136" s="4"/>
      <c r="E136" s="4"/>
      <c r="F136" s="4" t="str">
        <f t="shared" si="4"/>
        <v/>
      </c>
      <c r="G136" s="4"/>
      <c r="H136" s="4"/>
      <c r="I136" s="5"/>
      <c r="J136" s="4"/>
    </row>
    <row r="137" spans="1:10">
      <c r="A137" s="4"/>
      <c r="B137" s="4"/>
      <c r="C137" s="4"/>
      <c r="D137" s="4"/>
      <c r="E137" s="4"/>
      <c r="F137" s="4" t="str">
        <f t="shared" si="4"/>
        <v/>
      </c>
      <c r="G137" s="4"/>
      <c r="H137" s="4"/>
      <c r="I137" s="5"/>
      <c r="J137" s="4"/>
    </row>
    <row r="138" spans="1:10">
      <c r="A138" s="4"/>
      <c r="B138" s="4"/>
      <c r="C138" s="4"/>
      <c r="D138" s="4"/>
      <c r="E138" s="4"/>
      <c r="F138" s="4" t="str">
        <f t="shared" si="4"/>
        <v/>
      </c>
      <c r="G138" s="4"/>
      <c r="H138" s="4"/>
      <c r="I138" s="5"/>
      <c r="J138" s="4"/>
    </row>
    <row r="139" spans="1:10">
      <c r="A139" s="4"/>
      <c r="B139" s="4"/>
      <c r="C139" s="4"/>
      <c r="D139" s="4"/>
      <c r="E139" s="4"/>
      <c r="F139" s="4" t="str">
        <f t="shared" si="4"/>
        <v/>
      </c>
      <c r="G139" s="4"/>
      <c r="H139" s="4"/>
      <c r="I139" s="5"/>
      <c r="J139" s="4"/>
    </row>
    <row r="140" spans="1:10">
      <c r="A140" s="4"/>
      <c r="B140" s="4"/>
      <c r="C140" s="4"/>
      <c r="D140" s="4"/>
      <c r="E140" s="4"/>
      <c r="F140" s="4" t="str">
        <f t="shared" si="4"/>
        <v/>
      </c>
      <c r="G140" s="4"/>
      <c r="H140" s="4"/>
      <c r="I140" s="5"/>
      <c r="J140" s="4"/>
    </row>
    <row r="141" spans="1:10">
      <c r="A141" s="4"/>
      <c r="B141" s="4"/>
      <c r="C141" s="4"/>
      <c r="D141" s="4"/>
      <c r="E141" s="4"/>
      <c r="F141" s="4" t="str">
        <f t="shared" si="4"/>
        <v/>
      </c>
      <c r="G141" s="4"/>
      <c r="H141" s="4"/>
      <c r="I141" s="5"/>
      <c r="J141" s="4"/>
    </row>
    <row r="142" spans="1:10">
      <c r="A142" s="4"/>
      <c r="B142" s="4"/>
      <c r="C142" s="4"/>
      <c r="D142" s="4"/>
      <c r="E142" s="4"/>
      <c r="F142" s="4" t="str">
        <f t="shared" si="4"/>
        <v/>
      </c>
      <c r="G142" s="4"/>
      <c r="H142" s="4"/>
      <c r="I142" s="5"/>
      <c r="J142" s="4"/>
    </row>
    <row r="143" spans="1:10">
      <c r="A143" s="4"/>
      <c r="B143" s="4"/>
      <c r="C143" s="4"/>
      <c r="D143" s="4"/>
      <c r="E143" s="4"/>
      <c r="F143" s="4" t="str">
        <f t="shared" si="4"/>
        <v/>
      </c>
      <c r="G143" s="4"/>
      <c r="H143" s="4"/>
      <c r="I143" s="5"/>
      <c r="J143" s="4"/>
    </row>
    <row r="144" spans="1:10">
      <c r="A144" s="4"/>
      <c r="B144" s="4"/>
      <c r="C144" s="4"/>
      <c r="D144" s="4"/>
      <c r="E144" s="4"/>
      <c r="F144" s="4" t="str">
        <f t="shared" si="4"/>
        <v/>
      </c>
      <c r="G144" s="4"/>
      <c r="H144" s="4"/>
      <c r="I144" s="5"/>
      <c r="J144" s="4"/>
    </row>
    <row r="145" spans="1:10">
      <c r="A145" s="4"/>
      <c r="B145" s="4"/>
      <c r="C145" s="4"/>
      <c r="D145" s="4"/>
      <c r="E145" s="4"/>
      <c r="F145" s="4" t="str">
        <f t="shared" si="4"/>
        <v/>
      </c>
      <c r="G145" s="4"/>
      <c r="H145" s="4"/>
      <c r="I145" s="5"/>
      <c r="J145" s="4"/>
    </row>
    <row r="146" spans="1:10">
      <c r="A146" s="4"/>
      <c r="B146" s="4"/>
      <c r="C146" s="4"/>
      <c r="D146" s="4"/>
      <c r="E146" s="4"/>
      <c r="F146" s="4" t="str">
        <f t="shared" si="4"/>
        <v/>
      </c>
      <c r="G146" s="4"/>
      <c r="H146" s="4"/>
      <c r="I146" s="5"/>
      <c r="J146" s="4"/>
    </row>
    <row r="147" spans="1:10">
      <c r="A147" s="4"/>
      <c r="B147" s="4"/>
      <c r="C147" s="4"/>
      <c r="D147" s="4"/>
      <c r="E147" s="4"/>
      <c r="F147" s="4" t="str">
        <f t="shared" si="4"/>
        <v/>
      </c>
      <c r="G147" s="4"/>
      <c r="H147" s="4"/>
      <c r="I147" s="5"/>
      <c r="J147" s="4"/>
    </row>
    <row r="148" spans="1:10">
      <c r="A148" s="4"/>
      <c r="B148" s="4"/>
      <c r="C148" s="4"/>
      <c r="D148" s="4"/>
      <c r="E148" s="4"/>
      <c r="F148" s="4" t="str">
        <f t="shared" si="4"/>
        <v/>
      </c>
      <c r="G148" s="4"/>
      <c r="H148" s="4"/>
      <c r="I148" s="5"/>
      <c r="J148" s="4"/>
    </row>
    <row r="149" spans="1:10">
      <c r="A149" s="4"/>
      <c r="B149" s="4"/>
      <c r="C149" s="4"/>
      <c r="D149" s="4"/>
      <c r="E149" s="4"/>
      <c r="F149" s="4" t="str">
        <f t="shared" si="4"/>
        <v/>
      </c>
      <c r="G149" s="4"/>
      <c r="H149" s="4"/>
      <c r="I149" s="5"/>
      <c r="J149" s="4"/>
    </row>
    <row r="150" spans="1:10">
      <c r="A150" s="4"/>
      <c r="B150" s="4"/>
      <c r="C150" s="4"/>
      <c r="D150" s="4"/>
      <c r="E150" s="4"/>
      <c r="F150" s="4" t="str">
        <f t="shared" si="4"/>
        <v/>
      </c>
      <c r="G150" s="4"/>
      <c r="H150" s="4"/>
      <c r="I150" s="5"/>
      <c r="J150" s="4"/>
    </row>
    <row r="151" spans="1:10">
      <c r="A151" s="4"/>
      <c r="B151" s="4"/>
      <c r="C151" s="4"/>
      <c r="D151" s="4"/>
      <c r="E151" s="4"/>
      <c r="F151" s="4" t="str">
        <f t="shared" si="4"/>
        <v/>
      </c>
      <c r="G151" s="4"/>
      <c r="H151" s="4"/>
      <c r="I151" s="5"/>
      <c r="J151" s="4"/>
    </row>
    <row r="152" spans="1:10">
      <c r="A152" s="4"/>
      <c r="B152" s="4"/>
      <c r="C152" s="4"/>
      <c r="D152" s="4"/>
      <c r="E152" s="4"/>
      <c r="F152" s="4" t="str">
        <f t="shared" si="4"/>
        <v/>
      </c>
      <c r="G152" s="4"/>
      <c r="H152" s="4"/>
      <c r="I152" s="5"/>
      <c r="J152" s="4"/>
    </row>
    <row r="153" spans="1:10">
      <c r="A153" s="4"/>
      <c r="B153" s="4"/>
      <c r="C153" s="4"/>
      <c r="D153" s="4"/>
      <c r="E153" s="4"/>
      <c r="F153" s="4" t="str">
        <f t="shared" si="4"/>
        <v/>
      </c>
      <c r="G153" s="4"/>
      <c r="H153" s="4"/>
      <c r="I153" s="5"/>
      <c r="J153" s="4"/>
    </row>
    <row r="154" spans="1:10">
      <c r="A154" s="4"/>
      <c r="B154" s="4"/>
      <c r="C154" s="4"/>
      <c r="D154" s="4"/>
      <c r="E154" s="4"/>
      <c r="F154" s="4" t="str">
        <f t="shared" si="4"/>
        <v/>
      </c>
      <c r="G154" s="4"/>
      <c r="H154" s="4"/>
      <c r="I154" s="5"/>
      <c r="J154" s="4"/>
    </row>
    <row r="155" spans="1:10">
      <c r="A155" s="4"/>
      <c r="B155" s="4"/>
      <c r="C155" s="4"/>
      <c r="D155" s="4"/>
      <c r="E155" s="4"/>
      <c r="F155" s="4" t="str">
        <f t="shared" si="4"/>
        <v/>
      </c>
      <c r="G155" s="4"/>
      <c r="H155" s="4"/>
      <c r="I155" s="5"/>
      <c r="J155" s="4"/>
    </row>
    <row r="156" spans="1:10">
      <c r="A156" s="4"/>
      <c r="B156" s="4"/>
      <c r="C156" s="4"/>
      <c r="D156" s="4"/>
      <c r="E156" s="4"/>
      <c r="F156" s="4" t="str">
        <f t="shared" si="4"/>
        <v/>
      </c>
      <c r="G156" s="4"/>
      <c r="H156" s="4"/>
      <c r="I156" s="5"/>
      <c r="J156" s="4"/>
    </row>
    <row r="157" spans="1:10">
      <c r="A157" s="4"/>
      <c r="B157" s="4"/>
      <c r="C157" s="4"/>
      <c r="D157" s="4"/>
      <c r="E157" s="4"/>
      <c r="F157" s="4" t="str">
        <f t="shared" si="4"/>
        <v/>
      </c>
      <c r="G157" s="4"/>
      <c r="H157" s="4"/>
      <c r="I157" s="5"/>
      <c r="J157" s="4"/>
    </row>
    <row r="158" spans="1:10">
      <c r="A158" s="4"/>
      <c r="B158" s="4"/>
      <c r="C158" s="4"/>
      <c r="D158" s="4"/>
      <c r="E158" s="4"/>
      <c r="F158" s="4" t="str">
        <f t="shared" si="4"/>
        <v/>
      </c>
      <c r="G158" s="4"/>
      <c r="H158" s="4"/>
      <c r="I158" s="5"/>
      <c r="J158" s="4"/>
    </row>
    <row r="159" spans="1:10">
      <c r="A159" s="4"/>
      <c r="B159" s="4"/>
      <c r="C159" s="4"/>
      <c r="D159" s="4"/>
      <c r="E159" s="4"/>
      <c r="F159" s="4" t="str">
        <f t="shared" si="4"/>
        <v/>
      </c>
      <c r="G159" s="4"/>
      <c r="H159" s="4"/>
      <c r="I159" s="5"/>
      <c r="J159" s="4"/>
    </row>
    <row r="160" spans="1:10">
      <c r="A160" s="4"/>
      <c r="B160" s="4"/>
      <c r="C160" s="4"/>
      <c r="D160" s="4"/>
      <c r="E160" s="4"/>
      <c r="F160" s="4" t="str">
        <f t="shared" si="4"/>
        <v/>
      </c>
      <c r="G160" s="4"/>
      <c r="H160" s="4"/>
      <c r="I160" s="5"/>
      <c r="J160" s="4"/>
    </row>
    <row r="161" spans="1:10">
      <c r="A161" s="4"/>
      <c r="B161" s="4"/>
      <c r="C161" s="4"/>
      <c r="D161" s="4"/>
      <c r="E161" s="4"/>
      <c r="F161" s="4" t="str">
        <f t="shared" si="4"/>
        <v/>
      </c>
      <c r="G161" s="4"/>
      <c r="H161" s="4"/>
      <c r="I161" s="5"/>
      <c r="J161" s="4"/>
    </row>
    <row r="162" spans="1:10">
      <c r="A162" s="4"/>
      <c r="B162" s="4"/>
      <c r="C162" s="4"/>
      <c r="D162" s="4"/>
      <c r="E162" s="4"/>
      <c r="F162" s="4" t="str">
        <f t="shared" si="4"/>
        <v/>
      </c>
      <c r="G162" s="4"/>
      <c r="H162" s="4"/>
      <c r="I162" s="5"/>
      <c r="J162" s="4"/>
    </row>
    <row r="163" spans="1:10">
      <c r="A163" s="4"/>
      <c r="B163" s="4"/>
      <c r="C163" s="4"/>
      <c r="D163" s="4"/>
      <c r="E163" s="4"/>
      <c r="F163" s="4" t="str">
        <f t="shared" si="4"/>
        <v/>
      </c>
      <c r="G163" s="4"/>
      <c r="H163" s="4"/>
      <c r="I163" s="5"/>
      <c r="J163" s="4"/>
    </row>
    <row r="164" spans="1:10">
      <c r="A164" s="4"/>
      <c r="B164" s="4"/>
      <c r="C164" s="4"/>
      <c r="D164" s="4"/>
      <c r="E164" s="4"/>
      <c r="F164" s="4" t="str">
        <f t="shared" si="4"/>
        <v/>
      </c>
      <c r="G164" s="4"/>
      <c r="H164" s="4"/>
      <c r="I164" s="5"/>
      <c r="J164" s="4"/>
    </row>
    <row r="165" spans="1:10">
      <c r="A165" s="4"/>
      <c r="B165" s="4"/>
      <c r="C165" s="4"/>
      <c r="D165" s="4"/>
      <c r="E165" s="4"/>
      <c r="F165" s="4" t="str">
        <f t="shared" ref="F165:F196" si="5">IF(D165="", "", (IF(D165="Low",1,IF(D165="Medium",2,IF(D165="High",3,0)))) * (IF(E165="Low",1,IF(E165="Medium",2,IF(E165="High",3,0)))))</f>
        <v/>
      </c>
      <c r="G165" s="4"/>
      <c r="H165" s="4"/>
      <c r="I165" s="5"/>
      <c r="J165" s="4"/>
    </row>
    <row r="166" spans="1:10">
      <c r="A166" s="4"/>
      <c r="B166" s="4"/>
      <c r="C166" s="4"/>
      <c r="D166" s="4"/>
      <c r="E166" s="4"/>
      <c r="F166" s="4" t="str">
        <f t="shared" si="5"/>
        <v/>
      </c>
      <c r="G166" s="4"/>
      <c r="H166" s="4"/>
      <c r="I166" s="5"/>
      <c r="J166" s="4"/>
    </row>
    <row r="167" spans="1:10">
      <c r="A167" s="4"/>
      <c r="B167" s="4"/>
      <c r="C167" s="4"/>
      <c r="D167" s="4"/>
      <c r="E167" s="4"/>
      <c r="F167" s="4" t="str">
        <f t="shared" si="5"/>
        <v/>
      </c>
      <c r="G167" s="4"/>
      <c r="H167" s="4"/>
      <c r="I167" s="5"/>
      <c r="J167" s="4"/>
    </row>
    <row r="168" spans="1:10">
      <c r="A168" s="4"/>
      <c r="B168" s="4"/>
      <c r="C168" s="4"/>
      <c r="D168" s="4"/>
      <c r="E168" s="4"/>
      <c r="F168" s="4" t="str">
        <f t="shared" si="5"/>
        <v/>
      </c>
      <c r="G168" s="4"/>
      <c r="H168" s="4"/>
      <c r="I168" s="5"/>
      <c r="J168" s="4"/>
    </row>
    <row r="169" spans="1:10">
      <c r="A169" s="4"/>
      <c r="B169" s="4"/>
      <c r="C169" s="4"/>
      <c r="D169" s="4"/>
      <c r="E169" s="4"/>
      <c r="F169" s="4" t="str">
        <f t="shared" si="5"/>
        <v/>
      </c>
      <c r="G169" s="4"/>
      <c r="H169" s="4"/>
      <c r="I169" s="5"/>
      <c r="J169" s="4"/>
    </row>
    <row r="170" spans="1:10">
      <c r="A170" s="4"/>
      <c r="B170" s="4"/>
      <c r="C170" s="4"/>
      <c r="D170" s="4"/>
      <c r="E170" s="4"/>
      <c r="F170" s="4" t="str">
        <f t="shared" si="5"/>
        <v/>
      </c>
      <c r="G170" s="4"/>
      <c r="H170" s="4"/>
      <c r="I170" s="5"/>
      <c r="J170" s="4"/>
    </row>
    <row r="171" spans="1:10">
      <c r="A171" s="4"/>
      <c r="B171" s="4"/>
      <c r="C171" s="4"/>
      <c r="D171" s="4"/>
      <c r="E171" s="4"/>
      <c r="F171" s="4" t="str">
        <f t="shared" si="5"/>
        <v/>
      </c>
      <c r="G171" s="4"/>
      <c r="H171" s="4"/>
      <c r="I171" s="5"/>
      <c r="J171" s="4"/>
    </row>
    <row r="172" spans="1:10">
      <c r="A172" s="4"/>
      <c r="B172" s="4"/>
      <c r="C172" s="4"/>
      <c r="D172" s="4"/>
      <c r="E172" s="4"/>
      <c r="F172" s="4" t="str">
        <f t="shared" si="5"/>
        <v/>
      </c>
      <c r="G172" s="4"/>
      <c r="H172" s="4"/>
      <c r="I172" s="5"/>
      <c r="J172" s="4"/>
    </row>
    <row r="173" spans="1:10">
      <c r="A173" s="4"/>
      <c r="B173" s="4"/>
      <c r="C173" s="4"/>
      <c r="D173" s="4"/>
      <c r="E173" s="4"/>
      <c r="F173" s="4" t="str">
        <f t="shared" si="5"/>
        <v/>
      </c>
      <c r="G173" s="4"/>
      <c r="H173" s="4"/>
      <c r="I173" s="5"/>
      <c r="J173" s="4"/>
    </row>
    <row r="174" spans="1:10">
      <c r="A174" s="4"/>
      <c r="B174" s="4"/>
      <c r="C174" s="4"/>
      <c r="D174" s="4"/>
      <c r="E174" s="4"/>
      <c r="F174" s="4" t="str">
        <f t="shared" si="5"/>
        <v/>
      </c>
      <c r="G174" s="4"/>
      <c r="H174" s="4"/>
      <c r="I174" s="5"/>
      <c r="J174" s="4"/>
    </row>
    <row r="175" spans="1:10">
      <c r="A175" s="4"/>
      <c r="B175" s="4"/>
      <c r="C175" s="4"/>
      <c r="D175" s="4"/>
      <c r="E175" s="4"/>
      <c r="F175" s="4" t="str">
        <f t="shared" si="5"/>
        <v/>
      </c>
      <c r="G175" s="4"/>
      <c r="H175" s="4"/>
      <c r="I175" s="5"/>
      <c r="J175" s="4"/>
    </row>
    <row r="176" spans="1:10">
      <c r="A176" s="4"/>
      <c r="B176" s="4"/>
      <c r="C176" s="4"/>
      <c r="D176" s="4"/>
      <c r="E176" s="4"/>
      <c r="F176" s="4" t="str">
        <f t="shared" si="5"/>
        <v/>
      </c>
      <c r="G176" s="4"/>
      <c r="H176" s="4"/>
      <c r="I176" s="5"/>
      <c r="J176" s="4"/>
    </row>
    <row r="177" spans="1:10">
      <c r="A177" s="4"/>
      <c r="B177" s="4"/>
      <c r="C177" s="4"/>
      <c r="D177" s="4"/>
      <c r="E177" s="4"/>
      <c r="F177" s="4" t="str">
        <f t="shared" si="5"/>
        <v/>
      </c>
      <c r="G177" s="4"/>
      <c r="H177" s="4"/>
      <c r="I177" s="5"/>
      <c r="J177" s="4"/>
    </row>
    <row r="178" spans="1:10">
      <c r="A178" s="4"/>
      <c r="B178" s="4"/>
      <c r="C178" s="4"/>
      <c r="D178" s="4"/>
      <c r="E178" s="4"/>
      <c r="F178" s="4" t="str">
        <f t="shared" si="5"/>
        <v/>
      </c>
      <c r="G178" s="4"/>
      <c r="H178" s="4"/>
      <c r="I178" s="5"/>
      <c r="J178" s="4"/>
    </row>
    <row r="179" spans="1:10">
      <c r="A179" s="4"/>
      <c r="B179" s="4"/>
      <c r="C179" s="4"/>
      <c r="D179" s="4"/>
      <c r="E179" s="4"/>
      <c r="F179" s="4" t="str">
        <f t="shared" si="5"/>
        <v/>
      </c>
      <c r="G179" s="4"/>
      <c r="H179" s="4"/>
      <c r="I179" s="5"/>
      <c r="J179" s="4"/>
    </row>
    <row r="180" spans="1:10">
      <c r="A180" s="4"/>
      <c r="B180" s="4"/>
      <c r="C180" s="4"/>
      <c r="D180" s="4"/>
      <c r="E180" s="4"/>
      <c r="F180" s="4" t="str">
        <f t="shared" si="5"/>
        <v/>
      </c>
      <c r="G180" s="4"/>
      <c r="H180" s="4"/>
      <c r="I180" s="5"/>
      <c r="J180" s="4"/>
    </row>
    <row r="181" spans="1:10">
      <c r="A181" s="4"/>
      <c r="B181" s="4"/>
      <c r="C181" s="4"/>
      <c r="D181" s="4"/>
      <c r="E181" s="4"/>
      <c r="F181" s="4" t="str">
        <f t="shared" si="5"/>
        <v/>
      </c>
      <c r="G181" s="4"/>
      <c r="H181" s="4"/>
      <c r="I181" s="5"/>
      <c r="J181" s="4"/>
    </row>
    <row r="182" spans="1:10">
      <c r="A182" s="4"/>
      <c r="B182" s="4"/>
      <c r="C182" s="4"/>
      <c r="D182" s="4"/>
      <c r="E182" s="4"/>
      <c r="F182" s="4" t="str">
        <f t="shared" si="5"/>
        <v/>
      </c>
      <c r="G182" s="4"/>
      <c r="H182" s="4"/>
      <c r="I182" s="5"/>
      <c r="J182" s="4"/>
    </row>
    <row r="183" spans="1:10">
      <c r="A183" s="4"/>
      <c r="B183" s="4"/>
      <c r="C183" s="4"/>
      <c r="D183" s="4"/>
      <c r="E183" s="4"/>
      <c r="F183" s="4" t="str">
        <f t="shared" si="5"/>
        <v/>
      </c>
      <c r="G183" s="4"/>
      <c r="H183" s="4"/>
      <c r="I183" s="5"/>
      <c r="J183" s="4"/>
    </row>
    <row r="184" spans="1:10">
      <c r="A184" s="4"/>
      <c r="B184" s="4"/>
      <c r="C184" s="4"/>
      <c r="D184" s="4"/>
      <c r="E184" s="4"/>
      <c r="F184" s="4" t="str">
        <f t="shared" si="5"/>
        <v/>
      </c>
      <c r="G184" s="4"/>
      <c r="H184" s="4"/>
      <c r="I184" s="5"/>
      <c r="J184" s="4"/>
    </row>
    <row r="185" spans="1:10">
      <c r="A185" s="4"/>
      <c r="B185" s="4"/>
      <c r="C185" s="4"/>
      <c r="D185" s="4"/>
      <c r="E185" s="4"/>
      <c r="F185" s="4" t="str">
        <f t="shared" si="5"/>
        <v/>
      </c>
      <c r="G185" s="4"/>
      <c r="H185" s="4"/>
      <c r="I185" s="5"/>
      <c r="J185" s="4"/>
    </row>
    <row r="186" spans="1:10">
      <c r="A186" s="4"/>
      <c r="B186" s="4"/>
      <c r="C186" s="4"/>
      <c r="D186" s="4"/>
      <c r="E186" s="4"/>
      <c r="F186" s="4" t="str">
        <f t="shared" si="5"/>
        <v/>
      </c>
      <c r="G186" s="4"/>
      <c r="H186" s="4"/>
      <c r="I186" s="5"/>
      <c r="J186" s="4"/>
    </row>
    <row r="187" spans="1:10">
      <c r="A187" s="4"/>
      <c r="B187" s="4"/>
      <c r="C187" s="4"/>
      <c r="D187" s="4"/>
      <c r="E187" s="4"/>
      <c r="F187" s="4" t="str">
        <f t="shared" si="5"/>
        <v/>
      </c>
      <c r="G187" s="4"/>
      <c r="H187" s="4"/>
      <c r="I187" s="5"/>
      <c r="J187" s="4"/>
    </row>
    <row r="188" spans="1:10">
      <c r="A188" s="4"/>
      <c r="B188" s="4"/>
      <c r="C188" s="4"/>
      <c r="D188" s="4"/>
      <c r="E188" s="4"/>
      <c r="F188" s="4" t="str">
        <f t="shared" si="5"/>
        <v/>
      </c>
      <c r="G188" s="4"/>
      <c r="H188" s="4"/>
      <c r="I188" s="5"/>
      <c r="J188" s="4"/>
    </row>
    <row r="189" spans="1:10">
      <c r="A189" s="4"/>
      <c r="B189" s="4"/>
      <c r="C189" s="4"/>
      <c r="D189" s="4"/>
      <c r="E189" s="4"/>
      <c r="F189" s="4" t="str">
        <f t="shared" si="5"/>
        <v/>
      </c>
      <c r="G189" s="4"/>
      <c r="H189" s="4"/>
      <c r="I189" s="5"/>
      <c r="J189" s="4"/>
    </row>
    <row r="190" spans="1:10">
      <c r="A190" s="4"/>
      <c r="B190" s="4"/>
      <c r="C190" s="4"/>
      <c r="D190" s="4"/>
      <c r="E190" s="4"/>
      <c r="F190" s="4" t="str">
        <f t="shared" si="5"/>
        <v/>
      </c>
      <c r="G190" s="4"/>
      <c r="H190" s="4"/>
      <c r="I190" s="5"/>
      <c r="J190" s="4"/>
    </row>
    <row r="191" spans="1:10">
      <c r="A191" s="4"/>
      <c r="B191" s="4"/>
      <c r="C191" s="4"/>
      <c r="D191" s="4"/>
      <c r="E191" s="4"/>
      <c r="F191" s="4" t="str">
        <f t="shared" si="5"/>
        <v/>
      </c>
      <c r="G191" s="4"/>
      <c r="H191" s="4"/>
      <c r="I191" s="5"/>
      <c r="J191" s="4"/>
    </row>
    <row r="192" spans="1:10">
      <c r="A192" s="4"/>
      <c r="B192" s="4"/>
      <c r="C192" s="4"/>
      <c r="D192" s="4"/>
      <c r="E192" s="4"/>
      <c r="F192" s="4" t="str">
        <f t="shared" si="5"/>
        <v/>
      </c>
      <c r="G192" s="4"/>
      <c r="H192" s="4"/>
      <c r="I192" s="5"/>
      <c r="J192" s="4"/>
    </row>
    <row r="193" spans="1:10">
      <c r="A193" s="4"/>
      <c r="B193" s="4"/>
      <c r="C193" s="4"/>
      <c r="D193" s="4"/>
      <c r="E193" s="4"/>
      <c r="F193" s="4" t="str">
        <f t="shared" si="5"/>
        <v/>
      </c>
      <c r="G193" s="4"/>
      <c r="H193" s="4"/>
      <c r="I193" s="5"/>
      <c r="J193" s="4"/>
    </row>
    <row r="194" spans="1:10">
      <c r="A194" s="4"/>
      <c r="B194" s="4"/>
      <c r="C194" s="4"/>
      <c r="D194" s="4"/>
      <c r="E194" s="4"/>
      <c r="F194" s="4" t="str">
        <f t="shared" si="5"/>
        <v/>
      </c>
      <c r="G194" s="4"/>
      <c r="H194" s="4"/>
      <c r="I194" s="5"/>
      <c r="J194" s="4"/>
    </row>
    <row r="195" spans="1:10">
      <c r="A195" s="4"/>
      <c r="B195" s="4"/>
      <c r="C195" s="4"/>
      <c r="D195" s="4"/>
      <c r="E195" s="4"/>
      <c r="F195" s="4" t="str">
        <f t="shared" si="5"/>
        <v/>
      </c>
      <c r="G195" s="4"/>
      <c r="H195" s="4"/>
      <c r="I195" s="5"/>
      <c r="J195" s="4"/>
    </row>
    <row r="196" spans="1:10">
      <c r="A196" s="4"/>
      <c r="B196" s="4"/>
      <c r="C196" s="4"/>
      <c r="D196" s="4"/>
      <c r="E196" s="4"/>
      <c r="F196" s="4" t="str">
        <f t="shared" si="5"/>
        <v/>
      </c>
      <c r="G196" s="4"/>
      <c r="H196" s="4"/>
      <c r="I196" s="5"/>
      <c r="J196" s="4"/>
    </row>
    <row r="197" spans="1:10">
      <c r="A197" s="4"/>
      <c r="B197" s="4"/>
      <c r="C197" s="4"/>
      <c r="D197" s="4"/>
      <c r="E197" s="4"/>
      <c r="F197" s="4" t="str">
        <f t="shared" ref="F197:F228" si="6">IF(D197="", "", (IF(D197="Low",1,IF(D197="Medium",2,IF(D197="High",3,0)))) * (IF(E197="Low",1,IF(E197="Medium",2,IF(E197="High",3,0)))))</f>
        <v/>
      </c>
      <c r="G197" s="4"/>
      <c r="H197" s="4"/>
      <c r="I197" s="5"/>
      <c r="J197" s="4"/>
    </row>
    <row r="198" spans="1:10">
      <c r="A198" s="4"/>
      <c r="B198" s="4"/>
      <c r="C198" s="4"/>
      <c r="D198" s="4"/>
      <c r="E198" s="4"/>
      <c r="F198" s="4" t="str">
        <f t="shared" si="6"/>
        <v/>
      </c>
      <c r="G198" s="4"/>
      <c r="H198" s="4"/>
      <c r="I198" s="5"/>
      <c r="J198" s="4"/>
    </row>
    <row r="199" spans="1:10">
      <c r="A199" s="4"/>
      <c r="B199" s="4"/>
      <c r="C199" s="4"/>
      <c r="D199" s="4"/>
      <c r="E199" s="4"/>
      <c r="F199" s="4" t="str">
        <f t="shared" si="6"/>
        <v/>
      </c>
      <c r="G199" s="4"/>
      <c r="H199" s="4"/>
      <c r="I199" s="5"/>
      <c r="J199" s="4"/>
    </row>
    <row r="200" spans="1:10">
      <c r="A200" s="4"/>
      <c r="B200" s="4"/>
      <c r="C200" s="4"/>
      <c r="D200" s="4"/>
      <c r="E200" s="4"/>
      <c r="F200" s="4" t="str">
        <f t="shared" si="6"/>
        <v/>
      </c>
      <c r="G200" s="4"/>
      <c r="H200" s="4"/>
      <c r="I200" s="5"/>
      <c r="J200" s="4"/>
    </row>
    <row r="201" spans="1:10">
      <c r="A201" s="4"/>
      <c r="B201" s="4"/>
      <c r="C201" s="4"/>
      <c r="D201" s="4"/>
      <c r="E201" s="4"/>
      <c r="F201" s="4" t="str">
        <f t="shared" si="6"/>
        <v/>
      </c>
      <c r="G201" s="4"/>
      <c r="H201" s="4"/>
      <c r="I201" s="5"/>
      <c r="J201" s="4"/>
    </row>
    <row r="202" spans="1:10">
      <c r="A202" s="4"/>
      <c r="B202" s="4"/>
      <c r="C202" s="4"/>
      <c r="D202" s="4"/>
      <c r="E202" s="4"/>
      <c r="F202" s="4" t="str">
        <f t="shared" si="6"/>
        <v/>
      </c>
      <c r="G202" s="4"/>
      <c r="H202" s="4"/>
      <c r="I202" s="5"/>
      <c r="J202" s="4"/>
    </row>
    <row r="203" spans="1:10">
      <c r="A203" s="4"/>
      <c r="B203" s="4"/>
      <c r="C203" s="4"/>
      <c r="D203" s="4"/>
      <c r="E203" s="4"/>
      <c r="F203" s="4" t="str">
        <f t="shared" si="6"/>
        <v/>
      </c>
      <c r="G203" s="4"/>
      <c r="H203" s="4"/>
      <c r="I203" s="5"/>
      <c r="J203" s="4"/>
    </row>
    <row r="204" spans="1:10" ht="15"/>
  </sheetData>
  <dataValidations count="3">
    <dataValidation type="list" allowBlank="1" sqref="C2:C203" xr:uid="{00000000-0002-0000-0300-000000000000}">
      <formula1>"Risk,Issue"</formula1>
    </dataValidation>
    <dataValidation type="list" allowBlank="1" sqref="D2:E203" xr:uid="{00000000-0002-0000-0300-000001000000}">
      <formula1>"Low,Medium,High"</formula1>
    </dataValidation>
    <dataValidation type="list" allowBlank="1" sqref="J2:J203" xr:uid="{00000000-0002-0000-0300-000003000000}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5"/>
  <cols>
    <col min="1" max="1" width="40" customWidth="1"/>
    <col min="2" max="2" width="35" customWidth="1"/>
  </cols>
  <sheetData>
    <row r="1" spans="1:2">
      <c r="A1" s="3" t="s">
        <v>137</v>
      </c>
      <c r="B1" s="3" t="s">
        <v>1</v>
      </c>
    </row>
    <row r="2" spans="1:2" ht="15">
      <c r="A2" s="2" t="s">
        <v>138</v>
      </c>
      <c r="B2" s="2">
        <f>COUNTA(Tasks!A:A)</f>
        <v>30</v>
      </c>
    </row>
    <row r="3" spans="1:2" ht="15">
      <c r="A3" s="2" t="s">
        <v>139</v>
      </c>
      <c r="B3" s="2"/>
    </row>
    <row r="4" spans="1:2" ht="15">
      <c r="A4" s="2" t="s">
        <v>140</v>
      </c>
      <c r="B4" s="2">
        <f>COUNTIF(Tasks!J:J,"In Progress")</f>
        <v>8</v>
      </c>
    </row>
    <row r="5" spans="1:2" ht="15">
      <c r="A5" s="2" t="s">
        <v>141</v>
      </c>
      <c r="B5" s="2"/>
    </row>
    <row r="6" spans="1:2" ht="15">
      <c r="A6" s="2" t="s">
        <v>142</v>
      </c>
      <c r="B6" s="2"/>
    </row>
    <row r="7" spans="1:2" ht="15">
      <c r="A7" s="2" t="s">
        <v>143</v>
      </c>
      <c r="B7" s="6"/>
    </row>
    <row r="8" spans="1:2">
      <c r="A8" s="2" t="s">
        <v>144</v>
      </c>
      <c r="B8" s="2">
        <f>IFERROR(SUMPRODUCT(#REF!, --(#REF!&lt;&gt;"")) / COUNTIF(#REF!,"&gt;=0"), 0)</f>
        <v>0</v>
      </c>
    </row>
  </sheetData>
  <conditionalFormatting sqref="B6">
    <cfRule type="cellIs" dxfId="0" priority="1" stopIfTrue="1" operator="greater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D1E8-7549-4644-81DA-A2D06168007C}">
  <dimension ref="A1:G40"/>
  <sheetViews>
    <sheetView workbookViewId="0">
      <selection activeCell="D7" sqref="D7"/>
    </sheetView>
  </sheetViews>
  <sheetFormatPr defaultRowHeight="15"/>
  <cols>
    <col min="2" max="2" width="13" customWidth="1"/>
    <col min="3" max="3" width="17.7109375" customWidth="1"/>
    <col min="4" max="4" width="11.42578125" customWidth="1"/>
    <col min="5" max="5" width="21" customWidth="1"/>
    <col min="6" max="6" width="24.28515625" customWidth="1"/>
  </cols>
  <sheetData>
    <row r="1" spans="1:7" s="9" customFormat="1">
      <c r="A1" s="10" t="s">
        <v>145</v>
      </c>
      <c r="B1" s="10" t="s">
        <v>146</v>
      </c>
      <c r="C1" s="10" t="s">
        <v>147</v>
      </c>
      <c r="D1" s="10" t="s">
        <v>148</v>
      </c>
      <c r="E1" s="10" t="s">
        <v>149</v>
      </c>
      <c r="F1" s="10" t="s">
        <v>150</v>
      </c>
      <c r="G1" s="10"/>
    </row>
    <row r="2" spans="1:7" s="9" customFormat="1">
      <c r="A2" s="10"/>
      <c r="B2" s="10"/>
      <c r="C2" s="10"/>
      <c r="D2" s="10"/>
      <c r="E2" s="10"/>
      <c r="F2" s="10"/>
      <c r="G2" s="10"/>
    </row>
    <row r="3" spans="1:7" s="9" customFormat="1">
      <c r="A3" s="10"/>
      <c r="B3" s="10"/>
      <c r="C3" s="10"/>
      <c r="D3" s="10"/>
      <c r="E3" s="10"/>
      <c r="F3" s="10"/>
      <c r="G3" s="10"/>
    </row>
    <row r="4" spans="1:7" s="9" customFormat="1">
      <c r="A4" s="10"/>
      <c r="B4" s="10"/>
      <c r="C4" s="10"/>
      <c r="D4" s="10"/>
      <c r="E4" s="10"/>
      <c r="F4" s="10"/>
      <c r="G4" s="10"/>
    </row>
    <row r="5" spans="1:7" s="9" customFormat="1">
      <c r="A5" s="10"/>
      <c r="B5" s="10"/>
      <c r="C5" s="10"/>
      <c r="D5" s="10"/>
      <c r="E5" s="10"/>
      <c r="F5" s="10"/>
      <c r="G5" s="10"/>
    </row>
    <row r="6" spans="1:7" s="9" customFormat="1">
      <c r="A6" s="10"/>
      <c r="B6" s="10"/>
      <c r="C6" s="10"/>
      <c r="D6" s="10"/>
      <c r="E6" s="10"/>
      <c r="F6" s="10"/>
      <c r="G6" s="10"/>
    </row>
    <row r="7" spans="1:7" s="9" customFormat="1">
      <c r="A7" s="10"/>
      <c r="B7" s="10"/>
      <c r="C7" s="10"/>
      <c r="D7" s="10"/>
      <c r="E7" s="10"/>
      <c r="F7" s="10"/>
      <c r="G7" s="10"/>
    </row>
    <row r="8" spans="1:7" s="9" customFormat="1">
      <c r="A8" s="10"/>
      <c r="B8" s="10"/>
      <c r="C8" s="10"/>
      <c r="D8" s="10"/>
      <c r="E8" s="10"/>
      <c r="F8" s="10"/>
      <c r="G8" s="10"/>
    </row>
    <row r="9" spans="1:7" s="9" customFormat="1">
      <c r="A9" s="10"/>
      <c r="B9" s="10"/>
      <c r="C9" s="10"/>
      <c r="D9" s="10"/>
      <c r="E9" s="10"/>
      <c r="F9" s="10"/>
      <c r="G9" s="10"/>
    </row>
    <row r="10" spans="1:7" s="9" customFormat="1">
      <c r="A10" s="10"/>
      <c r="B10" s="10"/>
      <c r="C10" s="10"/>
      <c r="D10" s="10"/>
      <c r="E10" s="10"/>
      <c r="F10" s="10"/>
      <c r="G10" s="10"/>
    </row>
    <row r="11" spans="1:7" s="9" customFormat="1">
      <c r="A11" s="10"/>
      <c r="B11" s="10"/>
      <c r="C11" s="10"/>
      <c r="D11" s="10"/>
      <c r="E11" s="10"/>
      <c r="F11" s="10"/>
      <c r="G11" s="10"/>
    </row>
    <row r="12" spans="1:7" s="9" customFormat="1">
      <c r="A12" s="10"/>
      <c r="B12" s="10"/>
      <c r="C12" s="10"/>
      <c r="D12" s="10"/>
      <c r="E12" s="10"/>
      <c r="F12" s="10"/>
      <c r="G12" s="10"/>
    </row>
    <row r="13" spans="1:7" s="9" customFormat="1">
      <c r="A13" s="10"/>
      <c r="B13" s="10"/>
      <c r="C13" s="10"/>
      <c r="D13" s="10"/>
      <c r="E13" s="10"/>
      <c r="F13" s="10"/>
      <c r="G13" s="10"/>
    </row>
    <row r="14" spans="1:7" s="9" customFormat="1">
      <c r="A14" s="10"/>
      <c r="B14" s="10"/>
      <c r="C14" s="10"/>
      <c r="D14" s="10"/>
      <c r="E14" s="10"/>
      <c r="F14" s="10"/>
      <c r="G14" s="10"/>
    </row>
    <row r="15" spans="1:7" s="9" customFormat="1">
      <c r="A15" s="10"/>
      <c r="B15" s="10"/>
      <c r="C15" s="10"/>
      <c r="D15" s="10"/>
      <c r="E15" s="10"/>
      <c r="F15" s="10"/>
      <c r="G15" s="10"/>
    </row>
    <row r="16" spans="1:7" s="9" customFormat="1">
      <c r="A16" s="10"/>
      <c r="B16" s="10"/>
      <c r="C16" s="10"/>
      <c r="D16" s="10"/>
      <c r="E16" s="10"/>
      <c r="F16" s="10"/>
      <c r="G16" s="10"/>
    </row>
    <row r="17" spans="1:7" s="9" customFormat="1">
      <c r="A17" s="10"/>
      <c r="B17" s="10"/>
      <c r="C17" s="10"/>
      <c r="D17" s="10"/>
      <c r="E17" s="10"/>
      <c r="F17" s="10"/>
      <c r="G17" s="10"/>
    </row>
    <row r="18" spans="1:7" s="9" customFormat="1">
      <c r="A18" s="10"/>
      <c r="B18" s="10"/>
      <c r="C18" s="10"/>
      <c r="D18" s="10"/>
      <c r="E18" s="10"/>
      <c r="F18" s="10"/>
      <c r="G18" s="10"/>
    </row>
    <row r="19" spans="1:7" s="9" customFormat="1">
      <c r="A19" s="10"/>
      <c r="B19" s="10"/>
      <c r="C19" s="10"/>
      <c r="D19" s="10"/>
      <c r="E19" s="10"/>
      <c r="F19" s="10"/>
      <c r="G19" s="10"/>
    </row>
    <row r="20" spans="1:7">
      <c r="A20" s="8"/>
      <c r="B20" s="8"/>
      <c r="C20" s="8"/>
      <c r="D20" s="8"/>
      <c r="E20" s="8"/>
      <c r="F20" s="8"/>
      <c r="G20" s="8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26FB-BA41-4410-BBC3-F94A60FE3938}">
  <dimension ref="A1:C7"/>
  <sheetViews>
    <sheetView workbookViewId="0">
      <selection activeCell="B5" sqref="B5"/>
    </sheetView>
  </sheetViews>
  <sheetFormatPr defaultRowHeight="15"/>
  <sheetData>
    <row r="1" spans="1:3">
      <c r="A1" t="s">
        <v>151</v>
      </c>
      <c r="B1" t="s">
        <v>152</v>
      </c>
      <c r="C1" t="s">
        <v>153</v>
      </c>
    </row>
    <row r="2" spans="1:3">
      <c r="A2" s="15">
        <v>46027</v>
      </c>
      <c r="B2" t="s">
        <v>154</v>
      </c>
    </row>
    <row r="3" spans="1:3">
      <c r="B3" t="s">
        <v>155</v>
      </c>
    </row>
    <row r="4" spans="1:3">
      <c r="B4" t="s">
        <v>156</v>
      </c>
    </row>
    <row r="5" spans="1:3">
      <c r="B5" s="9" t="s">
        <v>157</v>
      </c>
    </row>
    <row r="6" spans="1:3">
      <c r="B6" t="s">
        <v>158</v>
      </c>
    </row>
    <row r="7" spans="1:3">
      <c r="B7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CF19-BED0-4B30-8C84-F3C5C2E9AD31}">
  <dimension ref="A2:F8"/>
  <sheetViews>
    <sheetView workbookViewId="0">
      <selection activeCell="A4" sqref="A4"/>
    </sheetView>
  </sheetViews>
  <sheetFormatPr defaultRowHeight="15"/>
  <cols>
    <col min="1" max="1" width="17.7109375" bestFit="1" customWidth="1"/>
    <col min="2" max="2" width="10.85546875" bestFit="1" customWidth="1"/>
    <col min="3" max="3" width="11" bestFit="1" customWidth="1"/>
    <col min="4" max="4" width="11.42578125" bestFit="1" customWidth="1"/>
    <col min="5" max="5" width="7.42578125" bestFit="1" customWidth="1"/>
    <col min="6" max="7" width="11.7109375" bestFit="1" customWidth="1"/>
    <col min="8" max="8" width="16.42578125" bestFit="1" customWidth="1"/>
    <col min="9" max="9" width="28" bestFit="1" customWidth="1"/>
    <col min="10" max="10" width="31" bestFit="1" customWidth="1"/>
    <col min="11" max="11" width="34.7109375" bestFit="1" customWidth="1"/>
    <col min="12" max="12" width="33.5703125" bestFit="1" customWidth="1"/>
    <col min="13" max="13" width="30.28515625" bestFit="1" customWidth="1"/>
    <col min="14" max="14" width="22.5703125" bestFit="1" customWidth="1"/>
    <col min="15" max="15" width="16.140625" bestFit="1" customWidth="1"/>
    <col min="16" max="16" width="30.42578125" bestFit="1" customWidth="1"/>
    <col min="17" max="17" width="24.42578125" bestFit="1" customWidth="1"/>
    <col min="18" max="18" width="36.5703125" bestFit="1" customWidth="1"/>
    <col min="19" max="19" width="16.5703125" bestFit="1" customWidth="1"/>
    <col min="20" max="20" width="20" bestFit="1" customWidth="1"/>
    <col min="21" max="21" width="24.5703125" bestFit="1" customWidth="1"/>
    <col min="22" max="22" width="28.7109375" bestFit="1" customWidth="1"/>
    <col min="23" max="23" width="37.7109375" bestFit="1" customWidth="1"/>
    <col min="24" max="24" width="23.42578125" bestFit="1" customWidth="1"/>
    <col min="25" max="25" width="20.42578125" bestFit="1" customWidth="1"/>
    <col min="26" max="26" width="20.85546875" bestFit="1" customWidth="1"/>
    <col min="27" max="27" width="10" bestFit="1" customWidth="1"/>
    <col min="28" max="28" width="19.7109375" bestFit="1" customWidth="1"/>
    <col min="29" max="29" width="20.28515625" bestFit="1" customWidth="1"/>
    <col min="30" max="30" width="20.7109375" bestFit="1" customWidth="1"/>
    <col min="31" max="31" width="23.28515625" bestFit="1" customWidth="1"/>
    <col min="32" max="32" width="27" bestFit="1" customWidth="1"/>
    <col min="33" max="33" width="16.7109375" bestFit="1" customWidth="1"/>
    <col min="34" max="34" width="9.28515625" bestFit="1" customWidth="1"/>
    <col min="35" max="35" width="12.42578125" bestFit="1" customWidth="1"/>
    <col min="36" max="36" width="11.7109375" bestFit="1" customWidth="1"/>
  </cols>
  <sheetData>
    <row r="2" spans="1:6">
      <c r="A2" s="34" t="s">
        <v>160</v>
      </c>
      <c r="B2" s="34" t="s">
        <v>19</v>
      </c>
    </row>
    <row r="3" spans="1:6">
      <c r="A3" s="34" t="s">
        <v>13</v>
      </c>
      <c r="B3" t="s">
        <v>26</v>
      </c>
      <c r="C3" t="s">
        <v>29</v>
      </c>
      <c r="D3" t="s">
        <v>52</v>
      </c>
      <c r="E3" t="s">
        <v>161</v>
      </c>
      <c r="F3" t="s">
        <v>162</v>
      </c>
    </row>
    <row r="4" spans="1:6">
      <c r="A4" t="s">
        <v>45</v>
      </c>
      <c r="C4">
        <v>1</v>
      </c>
      <c r="D4">
        <v>17</v>
      </c>
      <c r="F4">
        <v>18</v>
      </c>
    </row>
    <row r="5" spans="1:6">
      <c r="A5" t="s">
        <v>33</v>
      </c>
      <c r="B5">
        <v>2</v>
      </c>
      <c r="C5">
        <v>4</v>
      </c>
      <c r="F5">
        <v>6</v>
      </c>
    </row>
    <row r="6" spans="1:6">
      <c r="A6" t="s">
        <v>24</v>
      </c>
      <c r="B6">
        <v>2</v>
      </c>
      <c r="C6">
        <v>3</v>
      </c>
      <c r="F6">
        <v>5</v>
      </c>
    </row>
    <row r="7" spans="1:6">
      <c r="A7" t="s">
        <v>161</v>
      </c>
    </row>
    <row r="8" spans="1:6">
      <c r="A8" t="s">
        <v>162</v>
      </c>
      <c r="B8">
        <v>4</v>
      </c>
      <c r="C8">
        <v>8</v>
      </c>
      <c r="D8">
        <v>17</v>
      </c>
      <c r="F8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1F8C-8563-4E31-8DA4-539D45D17033}">
  <dimension ref="A1:D4"/>
  <sheetViews>
    <sheetView workbookViewId="0">
      <selection activeCell="J12" sqref="J12"/>
    </sheetView>
  </sheetViews>
  <sheetFormatPr defaultRowHeight="15"/>
  <sheetData>
    <row r="1" spans="1:4">
      <c r="A1" s="35" t="s">
        <v>13</v>
      </c>
      <c r="B1" s="35" t="s">
        <v>26</v>
      </c>
      <c r="C1" s="35" t="s">
        <v>29</v>
      </c>
      <c r="D1" s="35" t="s">
        <v>52</v>
      </c>
    </row>
    <row r="2" spans="1:4">
      <c r="A2" t="s">
        <v>45</v>
      </c>
      <c r="C2">
        <v>1</v>
      </c>
      <c r="D2">
        <v>17</v>
      </c>
    </row>
    <row r="3" spans="1:4">
      <c r="A3" t="s">
        <v>33</v>
      </c>
      <c r="B3">
        <v>2</v>
      </c>
      <c r="C3">
        <v>4</v>
      </c>
    </row>
    <row r="4" spans="1:4">
      <c r="A4" t="s">
        <v>24</v>
      </c>
      <c r="B4">
        <v>2</v>
      </c>
      <c r="C4">
        <v>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F699-0FD9-4E64-8F73-B92FC4191534}">
  <dimension ref="A2:B12"/>
  <sheetViews>
    <sheetView topLeftCell="A2" workbookViewId="0">
      <selection activeCell="B9" sqref="B9"/>
    </sheetView>
  </sheetViews>
  <sheetFormatPr defaultRowHeight="15"/>
  <cols>
    <col min="1" max="1" width="16.85546875" bestFit="1" customWidth="1"/>
    <col min="2" max="2" width="20.140625" bestFit="1" customWidth="1"/>
  </cols>
  <sheetData>
    <row r="2" spans="1:2">
      <c r="A2" s="34" t="s">
        <v>16</v>
      </c>
      <c r="B2" t="s">
        <v>163</v>
      </c>
    </row>
    <row r="3" spans="1:2">
      <c r="A3" t="s">
        <v>34</v>
      </c>
      <c r="B3">
        <v>8</v>
      </c>
    </row>
    <row r="4" spans="1:2">
      <c r="A4" t="s">
        <v>54</v>
      </c>
      <c r="B4">
        <v>6</v>
      </c>
    </row>
    <row r="5" spans="1:2">
      <c r="A5" t="s">
        <v>25</v>
      </c>
      <c r="B5">
        <v>5</v>
      </c>
    </row>
    <row r="6" spans="1:2">
      <c r="A6" t="s">
        <v>47</v>
      </c>
      <c r="B6">
        <v>4</v>
      </c>
    </row>
    <row r="7" spans="1:2">
      <c r="A7" t="s">
        <v>37</v>
      </c>
      <c r="B7">
        <v>2</v>
      </c>
    </row>
    <row r="8" spans="1:2">
      <c r="A8" t="s">
        <v>43</v>
      </c>
      <c r="B8">
        <v>1</v>
      </c>
    </row>
    <row r="9" spans="1:2">
      <c r="A9" t="s">
        <v>66</v>
      </c>
      <c r="B9">
        <v>1</v>
      </c>
    </row>
    <row r="10" spans="1:2">
      <c r="A10" t="s">
        <v>68</v>
      </c>
      <c r="B10">
        <v>1</v>
      </c>
    </row>
    <row r="11" spans="1:2">
      <c r="A11" t="s">
        <v>40</v>
      </c>
      <c r="B11">
        <v>1</v>
      </c>
    </row>
    <row r="12" spans="1:2">
      <c r="A12" t="s">
        <v>162</v>
      </c>
      <c r="B12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F8A1-C0C6-4DC9-89ED-1C42DF203356}">
  <dimension ref="A2:E13"/>
  <sheetViews>
    <sheetView topLeftCell="A2" workbookViewId="0">
      <selection activeCell="C19" sqref="C19"/>
    </sheetView>
  </sheetViews>
  <sheetFormatPr defaultRowHeight="15"/>
  <cols>
    <col min="1" max="1" width="20.140625" bestFit="1" customWidth="1"/>
    <col min="2" max="2" width="11.42578125" bestFit="1" customWidth="1"/>
    <col min="3" max="3" width="11" bestFit="1" customWidth="1"/>
    <col min="4" max="4" width="10.85546875" bestFit="1" customWidth="1"/>
    <col min="5" max="5" width="11.7109375" bestFit="1" customWidth="1"/>
  </cols>
  <sheetData>
    <row r="2" spans="1:5">
      <c r="A2" s="34" t="s">
        <v>163</v>
      </c>
      <c r="B2" s="34" t="s">
        <v>19</v>
      </c>
    </row>
    <row r="3" spans="1:5">
      <c r="A3" s="34" t="s">
        <v>16</v>
      </c>
      <c r="B3" t="s">
        <v>52</v>
      </c>
      <c r="C3" t="s">
        <v>29</v>
      </c>
      <c r="D3" t="s">
        <v>26</v>
      </c>
      <c r="E3" t="s">
        <v>162</v>
      </c>
    </row>
    <row r="4" spans="1:5">
      <c r="A4" t="s">
        <v>34</v>
      </c>
      <c r="B4">
        <v>5</v>
      </c>
      <c r="C4">
        <v>2</v>
      </c>
      <c r="D4">
        <v>1</v>
      </c>
      <c r="E4">
        <v>8</v>
      </c>
    </row>
    <row r="5" spans="1:5">
      <c r="A5" t="s">
        <v>54</v>
      </c>
      <c r="B5">
        <v>6</v>
      </c>
      <c r="E5">
        <v>6</v>
      </c>
    </row>
    <row r="6" spans="1:5">
      <c r="A6" t="s">
        <v>25</v>
      </c>
      <c r="C6">
        <v>3</v>
      </c>
      <c r="D6">
        <v>2</v>
      </c>
      <c r="E6">
        <v>5</v>
      </c>
    </row>
    <row r="7" spans="1:5">
      <c r="A7" t="s">
        <v>47</v>
      </c>
      <c r="B7">
        <v>3</v>
      </c>
      <c r="C7">
        <v>1</v>
      </c>
      <c r="E7">
        <v>4</v>
      </c>
    </row>
    <row r="8" spans="1:5">
      <c r="A8" t="s">
        <v>37</v>
      </c>
      <c r="B8">
        <v>1</v>
      </c>
      <c r="D8">
        <v>1</v>
      </c>
      <c r="E8">
        <v>2</v>
      </c>
    </row>
    <row r="9" spans="1:5">
      <c r="A9" t="s">
        <v>43</v>
      </c>
      <c r="C9">
        <v>1</v>
      </c>
      <c r="E9">
        <v>1</v>
      </c>
    </row>
    <row r="10" spans="1:5">
      <c r="A10" t="s">
        <v>66</v>
      </c>
      <c r="B10">
        <v>1</v>
      </c>
      <c r="E10">
        <v>1</v>
      </c>
    </row>
    <row r="11" spans="1:5">
      <c r="A11" t="s">
        <v>68</v>
      </c>
      <c r="B11">
        <v>1</v>
      </c>
      <c r="E11">
        <v>1</v>
      </c>
    </row>
    <row r="12" spans="1:5">
      <c r="A12" t="s">
        <v>40</v>
      </c>
      <c r="C12">
        <v>1</v>
      </c>
      <c r="E12">
        <v>1</v>
      </c>
    </row>
    <row r="13" spans="1:5">
      <c r="A13" t="s">
        <v>162</v>
      </c>
      <c r="B13">
        <v>17</v>
      </c>
      <c r="C13">
        <v>8</v>
      </c>
      <c r="D13">
        <v>4</v>
      </c>
      <c r="E13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D539-DF4B-4C66-B68C-F147F47BA470}">
  <dimension ref="A2:F18"/>
  <sheetViews>
    <sheetView workbookViewId="0">
      <selection activeCell="G12" sqref="G12"/>
    </sheetView>
  </sheetViews>
  <sheetFormatPr defaultRowHeight="15"/>
  <cols>
    <col min="1" max="1" width="17.7109375" bestFit="1" customWidth="1"/>
    <col min="2" max="2" width="16.85546875" bestFit="1" customWidth="1"/>
    <col min="3" max="3" width="11.42578125" bestFit="1" customWidth="1"/>
    <col min="4" max="4" width="11" bestFit="1" customWidth="1"/>
    <col min="5" max="5" width="10.85546875" bestFit="1" customWidth="1"/>
    <col min="6" max="6" width="11.7109375" bestFit="1" customWidth="1"/>
  </cols>
  <sheetData>
    <row r="2" spans="1:6">
      <c r="A2" s="34" t="s">
        <v>164</v>
      </c>
      <c r="C2" s="34" t="s">
        <v>19</v>
      </c>
    </row>
    <row r="3" spans="1:6">
      <c r="A3" s="34" t="s">
        <v>13</v>
      </c>
      <c r="B3" s="34" t="s">
        <v>16</v>
      </c>
      <c r="C3" t="s">
        <v>52</v>
      </c>
      <c r="D3" t="s">
        <v>29</v>
      </c>
      <c r="E3" t="s">
        <v>26</v>
      </c>
      <c r="F3" t="s">
        <v>162</v>
      </c>
    </row>
    <row r="4" spans="1:6">
      <c r="A4" t="s">
        <v>45</v>
      </c>
      <c r="B4" t="s">
        <v>54</v>
      </c>
      <c r="C4">
        <v>6</v>
      </c>
      <c r="F4">
        <v>6</v>
      </c>
    </row>
    <row r="5" spans="1:6">
      <c r="B5" t="s">
        <v>34</v>
      </c>
      <c r="C5">
        <v>5</v>
      </c>
      <c r="F5">
        <v>5</v>
      </c>
    </row>
    <row r="6" spans="1:6">
      <c r="B6" t="s">
        <v>47</v>
      </c>
      <c r="C6">
        <v>3</v>
      </c>
      <c r="D6">
        <v>1</v>
      </c>
      <c r="F6">
        <v>4</v>
      </c>
    </row>
    <row r="7" spans="1:6">
      <c r="B7" t="s">
        <v>37</v>
      </c>
      <c r="C7">
        <v>1</v>
      </c>
      <c r="F7">
        <v>1</v>
      </c>
    </row>
    <row r="8" spans="1:6">
      <c r="B8" t="s">
        <v>66</v>
      </c>
      <c r="C8">
        <v>1</v>
      </c>
      <c r="F8">
        <v>1</v>
      </c>
    </row>
    <row r="9" spans="1:6">
      <c r="B9" t="s">
        <v>68</v>
      </c>
      <c r="C9">
        <v>1</v>
      </c>
      <c r="F9">
        <v>1</v>
      </c>
    </row>
    <row r="10" spans="1:6">
      <c r="A10" t="s">
        <v>165</v>
      </c>
      <c r="C10">
        <v>17</v>
      </c>
      <c r="D10">
        <v>1</v>
      </c>
      <c r="F10">
        <v>18</v>
      </c>
    </row>
    <row r="11" spans="1:6">
      <c r="A11" t="s">
        <v>33</v>
      </c>
      <c r="B11" t="s">
        <v>34</v>
      </c>
      <c r="D11">
        <v>2</v>
      </c>
      <c r="E11">
        <v>1</v>
      </c>
      <c r="F11">
        <v>3</v>
      </c>
    </row>
    <row r="12" spans="1:6">
      <c r="B12" t="s">
        <v>43</v>
      </c>
      <c r="D12">
        <v>1</v>
      </c>
      <c r="F12">
        <v>1</v>
      </c>
    </row>
    <row r="13" spans="1:6">
      <c r="B13" t="s">
        <v>37</v>
      </c>
      <c r="E13">
        <v>1</v>
      </c>
      <c r="F13">
        <v>1</v>
      </c>
    </row>
    <row r="14" spans="1:6">
      <c r="B14" t="s">
        <v>40</v>
      </c>
      <c r="D14">
        <v>1</v>
      </c>
      <c r="F14">
        <v>1</v>
      </c>
    </row>
    <row r="15" spans="1:6">
      <c r="A15" t="s">
        <v>166</v>
      </c>
      <c r="D15">
        <v>4</v>
      </c>
      <c r="E15">
        <v>2</v>
      </c>
      <c r="F15">
        <v>6</v>
      </c>
    </row>
    <row r="16" spans="1:6">
      <c r="A16" t="s">
        <v>24</v>
      </c>
      <c r="B16" t="s">
        <v>25</v>
      </c>
      <c r="D16">
        <v>3</v>
      </c>
      <c r="E16">
        <v>2</v>
      </c>
      <c r="F16">
        <v>5</v>
      </c>
    </row>
    <row r="17" spans="1:6">
      <c r="A17" t="s">
        <v>167</v>
      </c>
      <c r="D17">
        <v>3</v>
      </c>
      <c r="E17">
        <v>2</v>
      </c>
      <c r="F17">
        <v>5</v>
      </c>
    </row>
    <row r="18" spans="1:6">
      <c r="A18" t="s">
        <v>162</v>
      </c>
      <c r="C18">
        <v>17</v>
      </c>
      <c r="D18">
        <v>8</v>
      </c>
      <c r="E18">
        <v>4</v>
      </c>
      <c r="F18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9AD0935F78DE4CA2F8485258BE1843" ma:contentTypeVersion="3" ma:contentTypeDescription="Create a new document." ma:contentTypeScope="" ma:versionID="42f18aa034f3266d3126604d20fbc4f0">
  <xsd:schema xmlns:xsd="http://www.w3.org/2001/XMLSchema" xmlns:xs="http://www.w3.org/2001/XMLSchema" xmlns:p="http://schemas.microsoft.com/office/2006/metadata/properties" xmlns:ns2="8d1b485b-b4bf-4fe0-9c31-a6bf6b2a4bef" targetNamespace="http://schemas.microsoft.com/office/2006/metadata/properties" ma:root="true" ma:fieldsID="92c9edf8550bfa106a8fb4345ca1c7ec" ns2:_="">
    <xsd:import namespace="8d1b485b-b4bf-4fe0-9c31-a6bf6b2a4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485b-b4bf-4fe0-9c31-a6bf6b2a4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46DB49-50DD-420F-BB0E-A801DA015035}"/>
</file>

<file path=customXml/itemProps2.xml><?xml version="1.0" encoding="utf-8"?>
<ds:datastoreItem xmlns:ds="http://schemas.openxmlformats.org/officeDocument/2006/customXml" ds:itemID="{CEBA544D-7A4B-4253-B6A5-7AF9F5B483AD}"/>
</file>

<file path=customXml/itemProps3.xml><?xml version="1.0" encoding="utf-8"?>
<ds:datastoreItem xmlns:ds="http://schemas.openxmlformats.org/officeDocument/2006/customXml" ds:itemID="{E90939DD-66D1-478C-9DA1-52EC4224E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Koppala Prabhakar Reddy</cp:lastModifiedBy>
  <cp:revision/>
  <dcterms:created xsi:type="dcterms:W3CDTF">2025-12-12T06:55:36Z</dcterms:created>
  <dcterms:modified xsi:type="dcterms:W3CDTF">2026-01-07T05:59:33Z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0x010100A39AD0935F78DE4CA2F8485258BE1843</vt:lpwstr>
  </property>
</Properties>
</file>