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0" documentId="8_{EBA9BF7C-DD9C-4998-AC1C-831FA3A4A091}" xr6:coauthVersionLast="47" xr6:coauthVersionMax="47" xr10:uidLastSave="{00000000-0000-0000-0000-000000000000}"/>
  <bookViews>
    <workbookView xWindow="-110" yWindow="-110" windowWidth="19420" windowHeight="11500" firstSheet="3" activeTab="1" xr2:uid="{00000000-000D-0000-FFFF-FFFF00000000}"/>
  </bookViews>
  <sheets>
    <sheet name="Overview" sheetId="1" r:id="rId1"/>
    <sheet name="Tasks" sheetId="2" r:id="rId2"/>
    <sheet name="Milestones" sheetId="3" r:id="rId3"/>
    <sheet name="Metrics" sheetId="5" r:id="rId4"/>
    <sheet name="Team Work Challenges" sheetId="6" r:id="rId5"/>
    <sheet name="change request" sheetId="14" r:id="rId6"/>
    <sheet name="User Stories" sheetId="7" r:id="rId7"/>
    <sheet name="Technical Skills" sheetId="13" r:id="rId8"/>
    <sheet name="Accounts Mapped" sheetId="16" r:id="rId9"/>
    <sheet name="Sheet3" sheetId="8" r:id="rId10"/>
    <sheet name="Sheet7" sheetId="9" r:id="rId11"/>
    <sheet name="Sheet4" sheetId="10" r:id="rId12"/>
    <sheet name="Sheet5" sheetId="11" r:id="rId13"/>
    <sheet name="Sheet6" sheetId="12" r:id="rId14"/>
    <sheet name="Sheet1" sheetId="15" r:id="rId15"/>
  </sheets>
  <definedNames>
    <definedName name="_xlnm._FilterDatabase" localSheetId="1" hidden="1">Tasks!$A$1:$M$44</definedName>
    <definedName name="_xlnm._FilterDatabase" localSheetId="6" hidden="1">'User Stories'!$B$1:$B$66</definedName>
  </definedNames>
  <calcPr calcId="191028"/>
  <pivotCaches>
    <pivotCache cacheId="137" r:id="rId16"/>
    <pivotCache cacheId="138"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2" i="5"/>
  <c r="B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Eswara Venkata Sai Raja</author>
  </authors>
  <commentList>
    <comment ref="B9" authorId="0" shapeId="0" xr:uid="{F4B8EB8F-53A4-4065-B70A-FDEF0596E353}">
      <text>
        <r>
          <rPr>
            <sz val="11"/>
            <color theme="1"/>
            <rFont val="Calibri"/>
            <family val="2"/>
            <scheme val="minor"/>
          </rPr>
          <t xml:space="preserve">-Sequential Orchestration
  -Pipeline
-Dynamic Orchestration
  -Router agent
-Event-driven triggers
</t>
        </r>
      </text>
    </comment>
  </commentList>
</comments>
</file>

<file path=xl/sharedStrings.xml><?xml version="1.0" encoding="utf-8"?>
<sst xmlns="http://schemas.openxmlformats.org/spreadsheetml/2006/main" count="1527" uniqueCount="634">
  <si>
    <t>Field</t>
  </si>
  <si>
    <t>Value</t>
  </si>
  <si>
    <t>Project Name</t>
  </si>
  <si>
    <t>Data Manager AI</t>
  </si>
  <si>
    <t>Prepared By</t>
  </si>
  <si>
    <t>Eswara Venkata Sai Raja</t>
  </si>
  <si>
    <t>Start Date</t>
  </si>
  <si>
    <t>Target Completion Date</t>
  </si>
  <si>
    <t>Reporting Cadence</t>
  </si>
  <si>
    <t>Weekly</t>
  </si>
  <si>
    <t>Last Updated</t>
  </si>
  <si>
    <t>Tasks ID</t>
  </si>
  <si>
    <t>Tasks Lis (Discription)</t>
  </si>
  <si>
    <t>Task Units</t>
  </si>
  <si>
    <t>Tasks Category</t>
  </si>
  <si>
    <t>Task Map/Milestone</t>
  </si>
  <si>
    <t>Assigned To</t>
  </si>
  <si>
    <t>Target Date</t>
  </si>
  <si>
    <t>Actual End Date</t>
  </si>
  <si>
    <t>Status</t>
  </si>
  <si>
    <t>% Complete</t>
  </si>
  <si>
    <t>Dependencies</t>
  </si>
  <si>
    <t>Comments</t>
  </si>
  <si>
    <t>UserStory (US-1) / TestCases (TC-1)</t>
  </si>
  <si>
    <t>Create User Stories / Test Cases for Dashboard</t>
  </si>
  <si>
    <t>UserStories</t>
  </si>
  <si>
    <t>Management</t>
  </si>
  <si>
    <t>Sai Riteshwar</t>
  </si>
  <si>
    <t>Completed</t>
  </si>
  <si>
    <t>UserStory (US-2) / TestCases (TC-2)</t>
  </si>
  <si>
    <t>Create User Stories  / Test Cases for Study Management</t>
  </si>
  <si>
    <t xml:space="preserve">Deepta C S, Aarthi </t>
  </si>
  <si>
    <t>UserStory (US-3) / TestCases (TC-3)</t>
  </si>
  <si>
    <t>Create User Stories  / Test Cases for Data Integration</t>
  </si>
  <si>
    <t>Priyeshwar</t>
  </si>
  <si>
    <t>UserStory (US-4) / TestCases (TC-4)</t>
  </si>
  <si>
    <t>Create User Stories  / Test Cases for Trail Data Management</t>
  </si>
  <si>
    <t>Ruthra</t>
  </si>
  <si>
    <t>UserStory (US-5) / TestCases (TC-5)</t>
  </si>
  <si>
    <t>Create User Stories  / Test Cases for DataManager</t>
  </si>
  <si>
    <t>Hanif, Ruthra</t>
  </si>
  <si>
    <t>React Learnings</t>
  </si>
  <si>
    <t>Refresh All The React Topics In Depth</t>
  </si>
  <si>
    <t>Learnings</t>
  </si>
  <si>
    <t>Aarthi, Deepta,Ruthra</t>
  </si>
  <si>
    <t xml:space="preserve">Node Learnings </t>
  </si>
  <si>
    <t>Refresh All The Node Topics In Depth</t>
  </si>
  <si>
    <t>Sai Riteshwar, Tejashree, Priyeshwar, Hanif</t>
  </si>
  <si>
    <t>Python Learnings</t>
  </si>
  <si>
    <t>Refresh All The Python and Agentic Topics In Depth</t>
  </si>
  <si>
    <t>Aarthi, Deepta,Ruthra, Sai Riteshwar, Tejashree, Priyeshwar, Hanif</t>
  </si>
  <si>
    <t>Azure Learnings</t>
  </si>
  <si>
    <t>Refered Azure Devops Concepts and Azure Services</t>
  </si>
  <si>
    <t>Industrial Standerds Document - Good Practices</t>
  </si>
  <si>
    <t>Refering Docs</t>
  </si>
  <si>
    <t>Documentation</t>
  </si>
  <si>
    <t xml:space="preserve">Technical Document </t>
  </si>
  <si>
    <t>Study Management</t>
  </si>
  <si>
    <t>Make Study Management Functional</t>
  </si>
  <si>
    <t>Frontend</t>
  </si>
  <si>
    <t>Integrating PostgreSQL System</t>
  </si>
  <si>
    <t>DataBase</t>
  </si>
  <si>
    <t>Data Integration</t>
  </si>
  <si>
    <t>Hanif, Ritesh</t>
  </si>
  <si>
    <t>Storing Clinical Data In Azure PostgreSQL</t>
  </si>
  <si>
    <t>Store Oncology Data into Azure PostgreSQL</t>
  </si>
  <si>
    <t>Backend</t>
  </si>
  <si>
    <t>Showcasing Clinical Data in Trial Data Management</t>
  </si>
  <si>
    <t>Trial Data Management</t>
  </si>
  <si>
    <t>Dashbard UI Refactoring</t>
  </si>
  <si>
    <t>Reorganized the dashboard into a task-centric "Workbench" to consolidate tasks, queries, and issues.</t>
  </si>
  <si>
    <t>Dashboard</t>
  </si>
  <si>
    <t>Integrating Clinical Data to Data Fetch Agent</t>
  </si>
  <si>
    <t>Ingesting Data from DB to Data Fetch Agent</t>
  </si>
  <si>
    <t>Data Manager</t>
  </si>
  <si>
    <t>Tejashree</t>
  </si>
  <si>
    <t>Implementing Data Fetch Agent to Flag DQs</t>
  </si>
  <si>
    <t>Implementing Data Fetch Agent locally using Gemini API Key</t>
  </si>
  <si>
    <t>Aarthi, Deepta,Tejashree</t>
  </si>
  <si>
    <t>Code Conversion</t>
  </si>
  <si>
    <t>Convert the Fast API Code to NodeJS</t>
  </si>
  <si>
    <t>Frontend/Backend</t>
  </si>
  <si>
    <t>PIT</t>
  </si>
  <si>
    <t>Integrate PI to DM</t>
  </si>
  <si>
    <t>Integrate Protocol Interpritation tool to Data Manager</t>
  </si>
  <si>
    <t>Protocol Table Extraction Migration</t>
  </si>
  <si>
    <t>Migrated manual extraction logic to Azure AI Document Intelligence for high-fidelity clinical table parsing.</t>
  </si>
  <si>
    <t>AI Intelligence</t>
  </si>
  <si>
    <t>DataManger/PIT Code Push</t>
  </si>
  <si>
    <t>Push The Updated DataManger code to Azure Repo</t>
  </si>
  <si>
    <t>Cloud</t>
  </si>
  <si>
    <t>Current Code Update</t>
  </si>
  <si>
    <t>Updating current to multiple protocol</t>
  </si>
  <si>
    <t>Create Test Data</t>
  </si>
  <si>
    <t>Create Test Data for Oncology with same Subject ID, Vist ID, Site ID and Manipulate few Data Values for testing and also Increase the number of subjects.</t>
  </si>
  <si>
    <t>Aarthi, Tejashree</t>
  </si>
  <si>
    <t>Create Protocol Document</t>
  </si>
  <si>
    <t>Create Protocol Document which is related to the Original Oncology Dataset.</t>
  </si>
  <si>
    <t xml:space="preserve">Deepta C S </t>
  </si>
  <si>
    <t>Test Azure AI Foundry Service</t>
  </si>
  <si>
    <t>Create a Sample Test Agent in Local Integrate it with the Gpt4o model which was created in Azure AI Foundry</t>
  </si>
  <si>
    <t>Hanif</t>
  </si>
  <si>
    <t>Push the Working DataManager code to Repo</t>
  </si>
  <si>
    <t>Integrate PIT to DataManager</t>
  </si>
  <si>
    <t>Serverless DB for API Data Integration / Ingest the Clinical Trail Data and Test Data</t>
  </si>
  <si>
    <t>Look Into Various Serverless DB Platforms [Turso] - Test the Integration Code Dynamic.</t>
  </si>
  <si>
    <t xml:space="preserve">UserStory3: [FE: Study List &amp; Create Study UI] - Study Management UI </t>
  </si>
  <si>
    <t>Review Study Management Code End to End and Update if any Modifications, Studies Data Should be stored in Azure PostgreSQL</t>
  </si>
  <si>
    <t>Ruthra, Priyeshwar</t>
  </si>
  <si>
    <t>UserStory4: [FE: Study Details Page (Protocol Status + Requirements Status)]</t>
  </si>
  <si>
    <t>Wipe out the unwanted codeds in Study Management Backed</t>
  </si>
  <si>
    <t>Look into DataManager.AI Feature Code</t>
  </si>
  <si>
    <t>Look into DataManager.AI Feature Code and make a note of all the endpoints and the 
functions names.</t>
  </si>
  <si>
    <t>DataManger</t>
  </si>
  <si>
    <t>Tejashree,Aarthi</t>
  </si>
  <si>
    <t>Data Population</t>
  </si>
  <si>
    <t>Populated the oncology data into the PostgreSQL database to enable discrepancy flaggingin the Data Manager</t>
  </si>
  <si>
    <t>Database</t>
  </si>
  <si>
    <t>Tejashree,Aarthi,Deepta</t>
  </si>
  <si>
    <t>Data Fetch Agent</t>
  </si>
  <si>
    <t>Testing the data in Data Fetch Agent</t>
  </si>
  <si>
    <t>Running web and backend pipeline</t>
  </si>
  <si>
    <t>Priyeshwar,Ruthra,Hanif,Ritesh</t>
  </si>
  <si>
    <t>Running agent pipeline</t>
  </si>
  <si>
    <t>Creating Test Data Based on Protocol Document</t>
  </si>
  <si>
    <t>Take the referance of Protocol sample Document and Dataset</t>
  </si>
  <si>
    <t>Aarthi,Tejashree</t>
  </si>
  <si>
    <t>Plan for building Task Manager Agent</t>
  </si>
  <si>
    <t>Review and note down what all the features are dependent on taks manager agent</t>
  </si>
  <si>
    <t>Test Run DQ Agent</t>
  </si>
  <si>
    <t>Note Down whether we are able to flag and give the outputs as expected or not</t>
  </si>
  <si>
    <t>Data fetch Agent / Integration logs</t>
  </si>
  <si>
    <t>Task Manager and Task Management Feature</t>
  </si>
  <si>
    <t>Study Management Protocol Upload</t>
  </si>
  <si>
    <t>Connecting Azure blob to the study management and uploading protocol to each studies</t>
  </si>
  <si>
    <t>Frontend/Cloud</t>
  </si>
  <si>
    <t>Trail Data Management Issues and Scheduler</t>
  </si>
  <si>
    <t>Ritesh</t>
  </si>
  <si>
    <t xml:space="preserve">Creating Documentation for Test Dataset </t>
  </si>
  <si>
    <t>Documented the Oncology Test Dataset in accordance with the protocol sample and the rule engine</t>
  </si>
  <si>
    <t>Identify and Flag Missing Data Based on Configuration Settings</t>
  </si>
  <si>
    <t>Detect and flag missing or incomplete data entries based on predefined configuration rules</t>
  </si>
  <si>
    <t>Update Dashboard UI to Display Total Data Quality Issues</t>
  </si>
  <si>
    <t>Update the UI dashboard to reflect the total number of issues found during data quality agent execution.</t>
  </si>
  <si>
    <t>Tejashree, Deepta</t>
  </si>
  <si>
    <t>Database Schema Alignment</t>
  </si>
  <si>
    <t>Synchronized local and cloud database schemas to resolve missing table errors (e.g., 'resources' table).</t>
  </si>
  <si>
    <t>Backend/Database</t>
  </si>
  <si>
    <t>Identify and Flag out of range values based on Configuration settings</t>
  </si>
  <si>
    <t>Identify and Flag Data inconsistency based on Configuration settings</t>
  </si>
  <si>
    <t>Aarthi</t>
  </si>
  <si>
    <t>Identify and Flag Invalid Format Detection based on Configuration settings</t>
  </si>
  <si>
    <t>Database Schema Updates for DQ Rules</t>
  </si>
  <si>
    <t>Modify PostgreSQL schema to store trial-specific Data Quality (DQ) rule configurations.</t>
  </si>
  <si>
    <t xml:space="preserve">Ruthra </t>
  </si>
  <si>
    <t>Settings Configuration APIs</t>
  </si>
  <si>
    <t>Develop backend REST APIs to save and retrieve user settings for DQ rules.</t>
  </si>
  <si>
    <t>Settings UI Enhancements</t>
  </si>
  <si>
    <t>Integrate dynamic severity dropdowns into the DataMonitor AI Settings UI.</t>
  </si>
  <si>
    <t>Dynamic Severity Validation Engine</t>
  </si>
  <si>
    <t>Update the backend validation engine to map user-configured severities to generated discrepancies.</t>
  </si>
  <si>
    <t>Dynamic Dashboard Data Integration</t>
  </si>
  <si>
    <t>Refactor the DataMonitor dashboard to pull live discrepancy data from the API instead of mock data.</t>
  </si>
  <si>
    <t>Full Stack</t>
  </si>
  <si>
    <t>Nomenclature Refactoring (Trials to Studies):</t>
  </si>
  <si>
    <t>Perform system-wide refactoring to migrate the application nomenclature from 'Trials' to 'Studies'.</t>
  </si>
  <si>
    <t>Code Refactoring</t>
  </si>
  <si>
    <t>Removing CRI, Central Monitor.AI tab in UI</t>
  </si>
  <si>
    <t>Role Definition for Task Manager</t>
  </si>
  <si>
    <t>Defining roles with description for TaskManager, transforming the finalized role definitions into JSON</t>
  </si>
  <si>
    <t>Task Management</t>
  </si>
  <si>
    <t>C.S.Deepta</t>
  </si>
  <si>
    <t>Creating new users login credentials for the Admin console</t>
  </si>
  <si>
    <t>System Admin can create multiple new users for login credentials</t>
  </si>
  <si>
    <t>Admin</t>
  </si>
  <si>
    <t>Mapping new users with their Roles, Studies and Access management</t>
  </si>
  <si>
    <t>Assigning roles to users and allowing access to specific studies</t>
  </si>
  <si>
    <t>User management controls for System Admin</t>
  </si>
  <si>
    <t xml:space="preserve">Providing functios such as Edit user, Activate/Deactivate user, Reset password and Delete user </t>
  </si>
  <si>
    <t>Fetching rules for Protocol Check</t>
  </si>
  <si>
    <t>Protocol Checks Agent</t>
  </si>
  <si>
    <t>Ritesh, Priyeshwar</t>
  </si>
  <si>
    <t>Validating data with the rules for Protocol Check</t>
  </si>
  <si>
    <t>Making Protocol Check UI Funtional</t>
  </si>
  <si>
    <t>Design Issue-to-Role Mapping Logic</t>
  </si>
  <si>
    <t>Implemented logic to map DQ and Reconciliation issues to specific roles using the roles.json configuration file.</t>
  </si>
  <si>
    <t>User Management</t>
  </si>
  <si>
    <t>Implement Data Quality Issue Generation</t>
  </si>
  <si>
    <t>Developed functionality to generate DQ issues dynamically when validation checks are executed.</t>
  </si>
  <si>
    <t>Data Quality (DQ)- rules,Orchastrate</t>
  </si>
  <si>
    <t>Automate Task Creation from Issues</t>
  </si>
  <si>
    <t>Implemented automatic task generation for every DQ or reconciliation issue detected</t>
  </si>
  <si>
    <t>Task Manager Agent (phase 1 &amp; Phase 2)</t>
  </si>
  <si>
    <t>Configure Task Assignment Based on Roles</t>
  </si>
  <si>
    <t>Enabled role-based task assignment using mappings defined in the role configuration file.</t>
  </si>
  <si>
    <t>In Progress</t>
  </si>
  <si>
    <t>Develop Dynamic Task Manager Integration</t>
  </si>
  <si>
    <t>Integrated generated tasks with the Task Management module so they appear in the
 “All Queries and Tasks” table dynamically.</t>
  </si>
  <si>
    <t>Implement Severity-Based Priority System</t>
  </si>
  <si>
    <t>Configured task priority based on validation severity levels defined in system settings.</t>
  </si>
  <si>
    <t>DataManager.AI</t>
  </si>
  <si>
    <t>Implement Automatic Due Date Logic</t>
  </si>
  <si>
    <t>Developed functionality to automatically set task due days based on priority</t>
  </si>
  <si>
    <t>Develop Dynamic "Due In" Calculation</t>
  </si>
  <si>
    <t>Implemented dynamic calculation of remaining days for each task, updating daily.</t>
  </si>
  <si>
    <t>Database update in tables for task allocation and storage</t>
  </si>
  <si>
    <t xml:space="preserve">Created new database tables to store the respective fetched and allocated values </t>
  </si>
  <si>
    <t>Enable Dynamic Functionality</t>
  </si>
  <si>
    <t>Implemented a dynamic view to display all tasks with complete details including study, domain, record ID and source.</t>
  </si>
  <si>
    <t xml:space="preserve">Prepare Database for Dynamic Task flow </t>
  </si>
  <si>
    <t xml:space="preserve"> Making the entire Task Management process allign and work respectively with the new dynamic workflow</t>
  </si>
  <si>
    <t xml:space="preserve">Create Schema and Table for Issue Table </t>
  </si>
  <si>
    <t xml:space="preserve">Created a table called issues to store the DQ and reconcilation flagged data </t>
  </si>
  <si>
    <t>Push the DQ flagged data in the Issue Table</t>
  </si>
  <si>
    <t>Display the total number of Data‑quality issues in the dashboard</t>
  </si>
  <si>
    <t>Enhanced the dashboard by implementing functionality to display the total number of data‑quality issues</t>
  </si>
  <si>
    <t xml:space="preserve">Aarthi </t>
  </si>
  <si>
    <t>Display the study‑based filtering for Data-quality Issues in the dashboard</t>
  </si>
  <si>
    <t>Implemented study‑based filtering for Data-quality Issues in the dashboard using data retrieved from Study Management dynamically</t>
  </si>
  <si>
    <t>Integrate DQ agent's code from Teja and Aarthi's branch</t>
  </si>
  <si>
    <t>Merge the DQ agent code from Teja’s branch into Aarthi’s branch, resolve all merge conflicts, and then push 
the updated branch to Azure.</t>
  </si>
  <si>
    <t>Integrate Data Manager UI from Ruthra’s Branch with Updated DQ Agent Code</t>
  </si>
  <si>
    <t>Audit Logs in Admin console</t>
  </si>
  <si>
    <t>Audit log to track every activity of every user inside the data manager application</t>
  </si>
  <si>
    <t>Filtering logs based on multiple parameters</t>
  </si>
  <si>
    <t>Filtering audit logs based on time, user, event type and severity</t>
  </si>
  <si>
    <t>Actions tab menu and export logs</t>
  </si>
  <si>
    <t>Actions tab menu to get detailed view on the logs and to export the logs to local</t>
  </si>
  <si>
    <t>Creating multiple roles through admin</t>
  </si>
  <si>
    <t>System admin can create new role and and this role can be assigned to the users</t>
  </si>
  <si>
    <t>Modifying and deleting role through admin</t>
  </si>
  <si>
    <t>Newly created role can be modified and can be deleted</t>
  </si>
  <si>
    <t>ER -1</t>
  </si>
  <si>
    <t>Created ER diagram for the entire database and created required support files for development usage</t>
  </si>
  <si>
    <t>Implement the Add Config functionality in the DataManager.ai user interface</t>
  </si>
  <si>
    <t>Implemented the Add Config functionality in the DataManager.ai ui, allowing users to add the title and 
description for data quality settings</t>
  </si>
  <si>
    <t>Data Manager.AI</t>
  </si>
  <si>
    <t>Develope the UI for global and study‑specific filtering within the Settings 
Configuration module of DataManager.ai</t>
  </si>
  <si>
    <t>Developed the UI for global and study‑specific filtering within the Settings Configuration module of 
DataManager.ai, enabling users to filter configurations either globally or based on specific studies as needed</t>
  </si>
  <si>
    <t>Integrate Add config functionality UI and Global,study-specific UI</t>
  </si>
  <si>
    <t>Integrate Aarthi's Data manager's UI functionalities such as Add config, Global and study specific settings</t>
  </si>
  <si>
    <t>Enable Severity Button Functionality in DQ Agent Backend Settings</t>
  </si>
  <si>
    <t>Integrate backend logic to ensure the severity button in the DQ agent's settings configuration is fully operational.</t>
  </si>
  <si>
    <t>Rules Engine for Reconciliation agent</t>
  </si>
  <si>
    <t>Curated necessary rules engine to be applied on multiple dataset for the reconciliation agent</t>
  </si>
  <si>
    <t>Recon</t>
  </si>
  <si>
    <t>Integrate settings configuration code from Ruthra and Aarthi's branch</t>
  </si>
  <si>
    <t>Merge the severity dropdown in the settings configuration and the dashboard ui from ruthra's branch into 
Aarthi's branch, resolve all merge conflicts, and then push the updated branch to Azure.</t>
  </si>
  <si>
    <t>Validate generated dataset for reconciliation agent</t>
  </si>
  <si>
    <t>Dataset specifically curated for reconciliation agent to verify from multiple sources</t>
  </si>
  <si>
    <t>Reconciliation Agent</t>
  </si>
  <si>
    <t>Azure Doc Intelligence</t>
  </si>
  <si>
    <t>Updating PIT to Azure Doc Intelligence</t>
  </si>
  <si>
    <t>Azure AI Foundry</t>
  </si>
  <si>
    <t>Updating Protocol Check to use Azure OpenAI key</t>
  </si>
  <si>
    <t>Integrate Task Management table to the Task management section</t>
  </si>
  <si>
    <t xml:space="preserve">Task Manager Agent </t>
  </si>
  <si>
    <t>Test New Test Data on DQ Agent</t>
  </si>
  <si>
    <t>Test the newly provided test data on the DQ Agent with data quality rule engine</t>
  </si>
  <si>
    <t>Data Quality Agent</t>
  </si>
  <si>
    <t>Tejashree, Aarthi</t>
  </si>
  <si>
    <t>Datamanager.AI and Dashboard Frontend</t>
  </si>
  <si>
    <t>Refined the DataManager.AI frontend by adding checkboxes to the study selection dropdowns and implementing a delete‑confirmation popup. Also enhanced the Dashboard issues card to support selecting all studies or a specific study</t>
  </si>
  <si>
    <t>Datamanager.AI/Dashboard</t>
  </si>
  <si>
    <t>Define New Test Data Rules for DQ Agent Validation</t>
  </si>
  <si>
    <t>Document the data quality rules and validation criteria applied to test datasets used by the DQ agent</t>
  </si>
  <si>
    <t>Implement Multi-Study DQ Run with Toggle Awareness and Connect Dashboard Issues 
Card to the Database</t>
  </si>
  <si>
    <t>Connect the DQ agent end‑to‑end with the study dropdown and toggle buttons to Backend and connect dashboard issues to db in 
which it displays all issues or filters them by selected studies based on the dropdown selection.</t>
  </si>
  <si>
    <t>Data Manager.AI/Dashboard</t>
  </si>
  <si>
    <t>Integrate Updated Protocol checks,Data fetch from Ruthra’s Branch into Priyesh
Branch</t>
  </si>
  <si>
    <t>Merge the Updated Protocol checks,Data fetch and Dq agents from Ruthra’s branch into Priyesh branch, resolve all merge conflicts, and then push the updated branch to Azure.</t>
  </si>
  <si>
    <t xml:space="preserve">Populating Test Data </t>
  </si>
  <si>
    <t>Populating test data in Azure postgres</t>
  </si>
  <si>
    <t>Storing Result of Protocol Check in issue table</t>
  </si>
  <si>
    <t>Restructuring DB SCHEMA</t>
  </si>
  <si>
    <t>Ruthra, Priyeshwar, Ritesh</t>
  </si>
  <si>
    <t>Creating Rules Engine for DQ agent</t>
  </si>
  <si>
    <t>Task Manager Agent - Front end &amp; backend - phase 1</t>
  </si>
  <si>
    <t>Implement Study Filter Dashboard Feature</t>
  </si>
  <si>
    <t xml:space="preserve"> Move study dropdown to header and make Issues, Tasks, Open Queries all filter by study</t>
  </si>
  <si>
    <t>Flag Missing value, Out of range and invalid format detection for CTJ301UC201 study</t>
  </si>
  <si>
    <t>Data consistency for CTJ301UC201 study</t>
  </si>
  <si>
    <t>Add Toggle Buttons for protocol check</t>
  </si>
  <si>
    <t>Priyeshwar, Ritesh</t>
  </si>
  <si>
    <t>Remove Groq Agent Code from DQ Agent for Study0001</t>
  </si>
  <si>
    <t>Remove all Groq agent related code, configurations, and references from the DQ agent file for Study0001</t>
  </si>
  <si>
    <t>Rename open queries, Total Tasks in the Dashboard</t>
  </si>
  <si>
    <t>Rename the labels of open queries to open query tasks and the tasks to Total tasks and the issues and Total issues</t>
  </si>
  <si>
    <t>Merge Dashboard UI and Backend from Teja’s Branch to DQ/Updated Branch</t>
  </si>
  <si>
    <t>Integrated the Dashboard UI and backend changes from Teja’s branch into the DQ/updated branch</t>
  </si>
  <si>
    <t>Implement Issues Card to Include Reconciliation and Signal Detection Counts</t>
  </si>
  <si>
    <t>Update the dashboard issues card to include and display issue counts from the reconciliation_issue and signal_detection tables in addition to the existing issues table count.</t>
  </si>
  <si>
    <t>Update DQ Agent Trigger to Use Refresh Button in Agent Section</t>
  </si>
  <si>
    <t>Modify the DQ agent execution flow to use the Refresh button available in the DQ agent card under the Agent section instead of the existing Run DQ and Reconciliation button in the Data Manager tab.</t>
  </si>
  <si>
    <t>Azure AI Search Migration</t>
  </si>
  <si>
    <t>Migrated from direct LLM calls to a RAG pipeline utilizing Azure AI Search for grounded analysis</t>
  </si>
  <si>
    <t>PIT ICF Module Integration</t>
  </si>
  <si>
    <t>Integrated the Informed Consent Form generation and interactive review workflow into the PIT UI.</t>
  </si>
  <si>
    <t>Metadata &amp; Study Sync</t>
  </si>
  <si>
    <t>Automated extraction of study metadata and synchronization with the global Study Management tables.</t>
  </si>
  <si>
    <t>Data &amp; Blob Management</t>
  </si>
  <si>
    <t>Configured Azure Blob Storage containers and database schemas for protocol persistence and security.</t>
  </si>
  <si>
    <t>Merge Priyeshwar's branch into DQ/updated branch</t>
  </si>
  <si>
    <t>Study based filtering in the dashboard</t>
  </si>
  <si>
    <t xml:space="preserve"> Issues, Tasks, Open Queries all filter by specific selected study dynamically</t>
  </si>
  <si>
    <t>Updated Dashboard UI</t>
  </si>
  <si>
    <t>Placed the active studies above the Open Query Tasks, tasks, issues card and removed the protocol Deviation card</t>
  </si>
  <si>
    <t>Update Dashboard UI</t>
  </si>
  <si>
    <t>Worked on implementing a Save button and checkbox selection for study-based filtering in the dashboard UI</t>
  </si>
  <si>
    <t>Implement Dashboard Reports Download</t>
  </si>
  <si>
    <t xml:space="preserve">Implement functionality to allow users to download dashboard insights via the Reports button </t>
  </si>
  <si>
    <t>Create new test dataset for DQ agent</t>
  </si>
  <si>
    <t>Creating new test dataset with minimal number of dq issues to test DQ agent</t>
  </si>
  <si>
    <t>Repository Refactoring &amp; Cleanup</t>
  </si>
  <si>
    <t>Consolidating the project structure, removing node_modules/dist artifacts, and flattening the agent file hierarchy.</t>
  </si>
  <si>
    <t>Backend / Frontend / Agent</t>
  </si>
  <si>
    <t>Maintenance</t>
  </si>
  <si>
    <t>SDG.ai Module Integration &amp; Azure Compatibility</t>
  </si>
  <si>
    <t>Implementation of the Synthetic Data Generator (SDG) module, including the development of a dedicated API client, configuration modules for backend integration, and enabling dynamic routing. The module was also updated to ensure full compatibility with the Azure environment.</t>
  </si>
  <si>
    <t>Backend / Frontend</t>
  </si>
  <si>
    <t>Feature Implementation</t>
  </si>
  <si>
    <t>PIT - Module Entirety Hardening</t>
  </si>
  <si>
    <t>Complete general hardening and end-to-end integration of the PIT module, including PDF parsing, RAG query fallback, and ICF automation.</t>
  </si>
  <si>
    <t>Feature / Bug Fix</t>
  </si>
  <si>
    <t>Study Setup - Remove Study Progress</t>
  </si>
  <si>
    <t>Remove the static/inactive "Study Progress" stepper and stats widgets from study setup panels.</t>
  </si>
  <si>
    <t>Cleanup</t>
  </si>
  <si>
    <t>Study Setup - Test/Check Site Data</t>
  </si>
  <si>
    <t>Implement and test client-side validations, verification visual alerts, and modal improvements for site data setup.</t>
  </si>
  <si>
    <t>Bug Fix</t>
  </si>
  <si>
    <t>Study Setup - Study Role Contacts</t>
  </si>
  <si>
    <t>Setup study-based contacts filtering dynamically by target role (CRC, CRA, PI) isolated per trial.</t>
  </si>
  <si>
    <t>Feature</t>
  </si>
  <si>
    <t>Study Setup - Clean Vendor/Service</t>
  </si>
  <si>
    <t>Clean up seeded mock vendor configurations and remove obsolete services options.</t>
  </si>
  <si>
    <t>Data Integration - Task Notifications</t>
  </si>
  <si>
    <t>Link pending task creations and edits directly with in-app notification alerts and the system dispatcher.</t>
  </si>
  <si>
    <t>Planned</t>
  </si>
  <si>
    <t>Data Integration - Graph API Access</t>
  </si>
  <si>
    <t>Refactor notification delivery to utilize the Microsoft Graph API SDK for enterprise email routing.</t>
  </si>
  <si>
    <t>Infrastructure</t>
  </si>
  <si>
    <t>Data Integration - Scheduler Hardening</t>
  </si>
  <si>
    <t>Complete background scheduler engine loops to trigger ETL sync scripts automatically at defined intervals.</t>
  </si>
  <si>
    <t>Data Integration - Dynamic Source Name</t>
  </si>
  <si>
    <t>Add a dynamic datasource name parameter on integration setup to populate Trial Data Management dynamically.</t>
  </si>
  <si>
    <t>Trial Data - Remove Vendor Imaging</t>
  </si>
  <si>
    <t>Remove the decommissioned "Vendor Imaging Data" tab trigger and grid components from Trial Data Management view.</t>
  </si>
  <si>
    <t>Reconciliation - Integrate to dev</t>
  </si>
  <si>
    <t>Merge the updated data reconciliation checks, matching indices, and logic updates directly to the 'dev' branch.</t>
  </si>
  <si>
    <t>Milestone</t>
  </si>
  <si>
    <t>Reconciliation</t>
  </si>
  <si>
    <t>Recon - Agentic Orchestration</t>
  </si>
  <si>
    <t>Unify Reconciliation, Protocol Check, and Task Manager into a centralized DataManager Agent orchestration loop.</t>
  </si>
  <si>
    <t>Orchestration</t>
  </si>
  <si>
    <t>SDG.ai - Convert SDTM to CDASH</t>
  </si>
  <si>
    <t>Change all occurrences of "SDTM" in the Synthetic Data Generator (SDG) page UI and configs to "CDASH".</t>
  </si>
  <si>
    <t>SDG.ai</t>
  </si>
  <si>
    <t>Documentation from Deepta</t>
  </si>
  <si>
    <t>Merge the Updated Branches - Push to DEV Branch</t>
  </si>
  <si>
    <t>Workflow check - 1</t>
  </si>
  <si>
    <t>Fixing Overall Bugs</t>
  </si>
  <si>
    <t>DB Cleaning</t>
  </si>
  <si>
    <t xml:space="preserve">Workflow check - 2 - New Data Ingestion </t>
  </si>
  <si>
    <t>Actual Complete Date</t>
  </si>
  <si>
    <t>Progress %</t>
  </si>
  <si>
    <t>units</t>
  </si>
  <si>
    <t>Milestone- details</t>
  </si>
  <si>
    <t>Protocol Interpretation Tool</t>
  </si>
  <si>
    <t>Protocol Generation Tool</t>
  </si>
  <si>
    <t>Created Schema for Data Manager.</t>
  </si>
  <si>
    <t>Generating Test Data and Ingesting into DB</t>
  </si>
  <si>
    <t>Trail Data Management</t>
  </si>
  <si>
    <t>Data Quality (DQ)</t>
  </si>
  <si>
    <t xml:space="preserve">total untis = 5 (4+ Unit test), completed = 4 </t>
  </si>
  <si>
    <t>Facing few issues due to Agent hallucination</t>
  </si>
  <si>
    <t>total untis = 6 (5+ Unit test)= 11, completed = 3</t>
  </si>
  <si>
    <t>Created a Rules Doc of Reconciliation</t>
  </si>
  <si>
    <t>total untis = 5 + Unit test= 5, completed = 9</t>
  </si>
  <si>
    <t>Task Manager Agent</t>
  </si>
  <si>
    <t>Working with the updated flow, Whole Application UI Testing</t>
  </si>
  <si>
    <t>Admin Module</t>
  </si>
  <si>
    <t>Testing Agent Orchestration</t>
  </si>
  <si>
    <t>ARCHICTURE</t>
  </si>
  <si>
    <t>Not Started</t>
  </si>
  <si>
    <t>Architecture diagram, Conceptual Flow, Operational Flow, Run Flow.</t>
  </si>
  <si>
    <t>DB SCHEMA REBUILDING</t>
  </si>
  <si>
    <t>Db Cleaning, Fresh Workflow - New Data Ingestion</t>
  </si>
  <si>
    <t>TESTING</t>
  </si>
  <si>
    <t>Metric</t>
  </si>
  <si>
    <t>Count</t>
  </si>
  <si>
    <t>Total Tasks</t>
  </si>
  <si>
    <t>Completed Tasks</t>
  </si>
  <si>
    <t>In Progress Tasks</t>
  </si>
  <si>
    <t>Not Started Tasks</t>
  </si>
  <si>
    <t>On Hold Tasks</t>
  </si>
  <si>
    <t>Overdue Tasks</t>
  </si>
  <si>
    <t>% Completion (Weighted by % Complete)</t>
  </si>
  <si>
    <t>Date</t>
  </si>
  <si>
    <t xml:space="preserve">Task </t>
  </si>
  <si>
    <t>Task Details (issue details)- &gt;24 hours</t>
  </si>
  <si>
    <t>Who</t>
  </si>
  <si>
    <t>Actions Tried (by own/help)</t>
  </si>
  <si>
    <t>Resolved (Yes/No)</t>
  </si>
  <si>
    <t>Resolved By?</t>
  </si>
  <si>
    <t>Date resolved</t>
  </si>
  <si>
    <t>Comment</t>
  </si>
  <si>
    <t>Azure</t>
  </si>
  <si>
    <t>Document Intelligence access issue</t>
  </si>
  <si>
    <t>Yes</t>
  </si>
  <si>
    <t>emails followup with Mitul</t>
  </si>
  <si>
    <t>AI Foundry acces issue</t>
  </si>
  <si>
    <t>Aarthi,Tejashree,Deepta</t>
  </si>
  <si>
    <t>Web and backend Backend pipeline</t>
  </si>
  <si>
    <t>by own</t>
  </si>
  <si>
    <t>Agent pipeline not working- Protocol intrepretation</t>
  </si>
  <si>
    <t>Priyeshwar, Sai Rithesh</t>
  </si>
  <si>
    <t>Agent pipeline not working- Data Fetch issue</t>
  </si>
  <si>
    <t>Package compatability issue- Protocol processing issue</t>
  </si>
  <si>
    <t>Azure AI search access issue</t>
  </si>
  <si>
    <t>No</t>
  </si>
  <si>
    <t>Visual Basic vide</t>
  </si>
  <si>
    <t>free trial has only few prompts for vibe coding</t>
  </si>
  <si>
    <t>Request Date</t>
  </si>
  <si>
    <t>Item name</t>
  </si>
  <si>
    <t>Description</t>
  </si>
  <si>
    <t xml:space="preserve">Name </t>
  </si>
  <si>
    <t>status</t>
  </si>
  <si>
    <t>Code Merged? (Yes/No)</t>
  </si>
  <si>
    <t>Pushed to azure</t>
  </si>
  <si>
    <t>Date in azure</t>
  </si>
  <si>
    <t>move the study filter to top next to reports</t>
  </si>
  <si>
    <t>Done</t>
  </si>
  <si>
    <t>yes</t>
  </si>
  <si>
    <t>remove create study in dashboard</t>
  </si>
  <si>
    <t>system admin should set the communication method</t>
  </si>
  <si>
    <t>downlodable reports for individual</t>
  </si>
  <si>
    <t>Run DataManager [option]</t>
  </si>
  <si>
    <t>what is thso</t>
  </si>
  <si>
    <t>Configuration requirement UI</t>
  </si>
  <si>
    <t>All studies selection checkbox</t>
  </si>
  <si>
    <t>checkbox selection for study-based filtering in the dashboard UI</t>
  </si>
  <si>
    <t>UI Updation</t>
  </si>
  <si>
    <t>View Document</t>
  </si>
  <si>
    <t>DTS Structure</t>
  </si>
  <si>
    <t>Merged the updated code with Task Management</t>
  </si>
  <si>
    <t>Deeptha</t>
  </si>
  <si>
    <t>Task/UserStory</t>
  </si>
  <si>
    <t>Assigned/Start date</t>
  </si>
  <si>
    <t>Completed date</t>
  </si>
  <si>
    <t>Status (done/ongoing/hold/issue/Not started)</t>
  </si>
  <si>
    <t>Comments/Issue</t>
  </si>
  <si>
    <t>issue date</t>
  </si>
  <si>
    <t>Resolved (Y/N)</t>
  </si>
  <si>
    <t>Resolved date</t>
  </si>
  <si>
    <t>FE: Study List &amp; Create Study UI</t>
  </si>
  <si>
    <t>FE: Study Details Page (Protocol Status + Requirements Status)</t>
  </si>
  <si>
    <t>FE: Upload Protocol UI (PDF) + Progress</t>
  </si>
  <si>
    <t>FE: Protocol Versions &amp; Audit View</t>
  </si>
  <si>
    <t>ongoing</t>
  </si>
  <si>
    <t>FE: Requirements Graph Viewer (Read-only)</t>
  </si>
  <si>
    <t>Not started</t>
  </si>
  <si>
    <t>FE: “Generate Requirements” Button + Run Status</t>
  </si>
  <si>
    <t>BE: Study CRUD APIs + Validation</t>
  </si>
  <si>
    <t>BE: Protocol Upload: Blob Storage + Metadata Record</t>
  </si>
  <si>
    <t>BE: Agent Job Framework for Protocol Processing (Webhook pattern)</t>
  </si>
  <si>
    <t>BE: Requirements Graph Persistence Model + APIs</t>
  </si>
  <si>
    <t>BE: WebSocket Notifications for Protocol/Requirements Jobs</t>
  </si>
  <si>
    <t>AI: Protocol Chunking + Indexing Pipeline (Azure AI Search)</t>
  </si>
  <si>
    <t>AI: Protocol → Requirements Graph Extraction (Study-specific)</t>
  </si>
  <si>
    <t>AI: Requirements Schema Validator (Anti-hallucination Gate)</t>
  </si>
  <si>
    <t>AI: Rule Catalog Bootstrap (Industry-standard driven)</t>
  </si>
  <si>
    <t xml:space="preserve">BE: Create Oncology Test datasets </t>
  </si>
  <si>
    <t>BE: Create Oncology Protocol Document</t>
  </si>
  <si>
    <t>Deepta</t>
  </si>
  <si>
    <t>BE: Populate the oncology data into the PostgreSQL database</t>
  </si>
  <si>
    <t xml:space="preserve">BE: Develop DQ agent using rule engine </t>
  </si>
  <si>
    <t>BE: Develop DQ  agent using Protocol Document</t>
  </si>
  <si>
    <t>Ongoing</t>
  </si>
  <si>
    <t>BE: Supabase API Integration in Data Integration</t>
  </si>
  <si>
    <t>Rithesh</t>
  </si>
  <si>
    <t>locally done</t>
  </si>
  <si>
    <t>BE: Displaying Data in Trial Data Management from Azure PostgreSQL Database</t>
  </si>
  <si>
    <t>FE: Creating Protocol Interpretation Tab</t>
  </si>
  <si>
    <t>BE: Integrating Backend for PIT (Protocol Interpretation Tab) in Data Manager</t>
  </si>
  <si>
    <t>Priyesh</t>
  </si>
  <si>
    <t>AI: Table Extraction in Protocol Interpretation</t>
  </si>
  <si>
    <t>AI: AI Analysis Report Generation in Protocol Interpretation</t>
  </si>
  <si>
    <t>AI: Uploading Multiple Protocols in Protocol Interpretation</t>
  </si>
  <si>
    <t>AI: Rule Analysis Generation in Protocol Interpretation</t>
  </si>
  <si>
    <t>BE: Integration Log Functional in Data Integration</t>
  </si>
  <si>
    <t>BE: Enabling Filters in Integration Logs</t>
  </si>
  <si>
    <t>BE: Displaying Log Details</t>
  </si>
  <si>
    <t>BE: Enabling Filters in Integration Source</t>
  </si>
  <si>
    <t>BE: Making Actions Functional in Integration Source</t>
  </si>
  <si>
    <t>BE: changing end points and reconfiguring the Database Tables</t>
  </si>
  <si>
    <t>FE: Removing Hardcoded values</t>
  </si>
  <si>
    <t>BE: Refactor the Data Integration code to run on azure</t>
  </si>
  <si>
    <t>BE: Adding Study_ID in Integration Source</t>
  </si>
  <si>
    <t>BE: Making Scheduler Funtional</t>
  </si>
  <si>
    <t>BE: Fixing the bugs in Integration Logs(Integration Source,Operation, &amp; Status)</t>
  </si>
  <si>
    <t>BE: Making Data Fetch Agent Functional</t>
  </si>
  <si>
    <t>FE: Making Data Fetch Agent UI Functional</t>
  </si>
  <si>
    <t>FE: Removing CRI, Central Monitor.AI tab in UI</t>
  </si>
  <si>
    <t>BE: Fetching rules for Reconciliation</t>
  </si>
  <si>
    <t>BE: Validating data with the rules for Reconciliation</t>
  </si>
  <si>
    <t>FE: Making Reconciliation UI Funtional</t>
  </si>
  <si>
    <t>Rule checks configuration- separate selection for each study</t>
  </si>
  <si>
    <t>BE: Dynamic Severity Validation Engine</t>
  </si>
  <si>
    <t>FE: Dynamic Dashboard Data Integration</t>
  </si>
  <si>
    <t>BE: Creating new users login credentials for the Admin console</t>
  </si>
  <si>
    <t>BE: Mapping new users with their Roles, Studies and Access management</t>
  </si>
  <si>
    <t>BE: User management controls for System Admin</t>
  </si>
  <si>
    <t>FE: adding ICF to PIT</t>
  </si>
  <si>
    <t xml:space="preserve">BE: adding ICF to PIT </t>
  </si>
  <si>
    <t>BE: moving ICF to Azure AI Search</t>
  </si>
  <si>
    <t>Names</t>
  </si>
  <si>
    <t>React</t>
  </si>
  <si>
    <t>Node</t>
  </si>
  <si>
    <t>Python</t>
  </si>
  <si>
    <t>AI prompts</t>
  </si>
  <si>
    <t>Azure foundations</t>
  </si>
  <si>
    <t>API prog</t>
  </si>
  <si>
    <t>Aarthi L</t>
  </si>
  <si>
    <t>Intermediate</t>
  </si>
  <si>
    <t>Good</t>
  </si>
  <si>
    <t>Beginner</t>
  </si>
  <si>
    <t>Deepta CS</t>
  </si>
  <si>
    <t>Hanif Mohammed</t>
  </si>
  <si>
    <t>Priyeshwar MD</t>
  </si>
  <si>
    <t>Ruthravarshan S</t>
  </si>
  <si>
    <t>Sai Ritheshwar</t>
  </si>
  <si>
    <t>Eswara</t>
  </si>
  <si>
    <t>Name</t>
  </si>
  <si>
    <t>Account</t>
  </si>
  <si>
    <t>LV=</t>
  </si>
  <si>
    <t>Premier Research</t>
  </si>
  <si>
    <t>Butterfly</t>
  </si>
  <si>
    <t>Count of Status</t>
  </si>
  <si>
    <t>(blank)</t>
  </si>
  <si>
    <t>Grand Total</t>
  </si>
  <si>
    <t>llll</t>
  </si>
  <si>
    <t>Count of Assigned To</t>
  </si>
  <si>
    <t>Ruthra/Hanif</t>
  </si>
  <si>
    <t>Arthi/Tejasree</t>
  </si>
  <si>
    <t>Priyeshwer</t>
  </si>
  <si>
    <t>Deepta/Tejashree</t>
  </si>
  <si>
    <t>Count of Tasks Category</t>
  </si>
  <si>
    <t>Backend Total</t>
  </si>
  <si>
    <t>Database Total</t>
  </si>
  <si>
    <t>Frontend Total</t>
  </si>
  <si>
    <t>Task Name</t>
  </si>
  <si>
    <t>Task Description</t>
  </si>
  <si>
    <t>Module</t>
  </si>
  <si>
    <t>Task Status</t>
  </si>
  <si>
    <t>%</t>
  </si>
  <si>
    <t>Code Conversion (FastAPI → NodeJS)</t>
  </si>
  <si>
    <t>Convert FastAPI‑based Protocol Interpretation Tool code to NodeJS</t>
  </si>
  <si>
    <t>Integrate PIT to Data Manager</t>
  </si>
  <si>
    <t>Integrate the Protocol Interpretation Tool into the Data Manager module</t>
  </si>
  <si>
    <t>Azure Doc Intelligence Integration</t>
  </si>
  <si>
    <t>Update the Protocol Interpretation Tool to use Azure Document Intelligence for protocol parsing</t>
  </si>
  <si>
    <t>Azure AI Foundry – Protocol Check Update</t>
  </si>
  <si>
    <t>Update Protocol Check to use Azure OpenAI through Azure AI Foundry</t>
  </si>
  <si>
    <t>Add ICF to PIT (FE &amp; BE)</t>
  </si>
  <si>
    <t>Add support for Informed Consent Form in both frontend and backend of the Protocol Interpretation Tool</t>
  </si>
  <si>
    <t>Move ICF to Azure AI Search</t>
  </si>
  <si>
    <t>Store and index Informed Consent Form data in Azure AI Search</t>
  </si>
  <si>
    <t>Study Management – Core Functionality</t>
  </si>
  <si>
    <t>Implement study creation and core study management functionality</t>
  </si>
  <si>
    <t>Study Mgmt</t>
  </si>
  <si>
    <t>Team</t>
  </si>
  <si>
    <t>Study List &amp; Create Study UI</t>
  </si>
  <si>
    <t>Review and update the Study List and Create Study user interface</t>
  </si>
  <si>
    <t>Study Details Page Backend Cleanup</t>
  </si>
  <si>
    <t>Remove unwanted backend code from Study Management services</t>
  </si>
  <si>
    <t>Protocol Upload via Azure Blob</t>
  </si>
  <si>
    <t>Connect Azure Blob Storage to upload and manage study protocols</t>
  </si>
  <si>
    <t>Nomenclature Refactor (Trials → Studies)</t>
  </si>
  <si>
    <t>Refactor system terminology from Trials to Studies across the application</t>
  </si>
  <si>
    <t>Fetch and display live discrepancy and issue data dynamically from backend APIs</t>
  </si>
  <si>
    <t>Display Total DQ Issues</t>
  </si>
  <si>
    <t>Display total number of data‑quality issues on dashboard cards</t>
  </si>
  <si>
    <t>Study‑based Filtering in Dashboard</t>
  </si>
  <si>
    <t>Enable study‑based filtering of dashboard data</t>
  </si>
  <si>
    <t>Study Filter in Header</t>
  </si>
  <si>
    <t>Move the study selection dropdown to the dashboard header</t>
  </si>
  <si>
    <t>Dashboard UI Refinements</t>
  </si>
  <si>
    <t>Refine dashboard UI with checkboxes and delete confirmation pop‑ups</t>
  </si>
  <si>
    <t>Integrate Clinical Data to Fetch Agent</t>
  </si>
  <si>
    <t>Ingest clinical trial data from the database into the Data Fetch Agent</t>
  </si>
  <si>
    <t>Data Fetch</t>
  </si>
  <si>
    <t>Execute Data Fetch Agent</t>
  </si>
  <si>
    <t>Execute and validate the Data Fetch Agent pipeline end to end</t>
  </si>
  <si>
    <t>Integration Logs UI &amp; Backend</t>
  </si>
  <si>
    <t>Display, filter, and export data integration logs</t>
  </si>
  <si>
    <t>Priyeshwar, Hanif</t>
  </si>
  <si>
    <t>Missing Data Detection</t>
  </si>
  <si>
    <t>Detect and flag missing or incomplete data fields</t>
  </si>
  <si>
    <t>DQ Agent</t>
  </si>
  <si>
    <t>Out‑of‑Range Detection</t>
  </si>
  <si>
    <t>Identify and flag out‑of‑range values based on configured rules</t>
  </si>
  <si>
    <t>Invalid Format Detection</t>
  </si>
  <si>
    <t>Detect and flag invalid data formats using rule‑based validation</t>
  </si>
  <si>
    <t>Data Consistency Checks</t>
  </si>
  <si>
    <t>Identify and flag data inconsistencies across related fields</t>
  </si>
  <si>
    <t>Remove Groq Agent (Study0001)</t>
  </si>
  <si>
    <t>Remove Groq agent code, configurations, and references for Study0001</t>
  </si>
  <si>
    <t>—</t>
  </si>
  <si>
    <t>Update DQ Trigger via Refresh Button</t>
  </si>
  <si>
    <t>Modify DQ execution workflow to trigger using the Refresh button</t>
  </si>
  <si>
    <t>Fetch Rules for Protocol Check</t>
  </si>
  <si>
    <t>Fetch validation rules required for protocol checks</t>
  </si>
  <si>
    <t>Protocol Check</t>
  </si>
  <si>
    <t>Validate Data via Rules Engine</t>
  </si>
  <si>
    <t>Validate clinical data against protocol‑defined rules</t>
  </si>
  <si>
    <t>Protocol Check UI Integration</t>
  </si>
  <si>
    <t>Make the Protocol Checks user interface fully functional</t>
  </si>
  <si>
    <t>Toggle Buttons for Protocol Check</t>
  </si>
  <si>
    <t>Add toggle buttons to enable or disable protocol checks</t>
  </si>
  <si>
    <t>Rules Engine Documentation</t>
  </si>
  <si>
    <t>Define and document reconciliation rules and logic</t>
  </si>
  <si>
    <t>Validate Reconciliation Dataset</t>
  </si>
  <si>
    <t>Validate curated reconciliation datasets across multiple sources</t>
  </si>
  <si>
    <t>Reconciliation Agent Backend</t>
  </si>
  <si>
    <t>Implement backend logic for the Reconciliation Agent</t>
  </si>
  <si>
    <t>Issue‑to‑Role Mapping</t>
  </si>
  <si>
    <t>Map data‑quality and reconciliation issues to roles using configuration logic</t>
  </si>
  <si>
    <t>Task Manager</t>
  </si>
  <si>
    <t>Auto Task Creation from Issues</t>
  </si>
  <si>
    <t>Automatically generate tasks from detected issues</t>
  </si>
  <si>
    <t>Role‑based Task Assignment</t>
  </si>
  <si>
    <t>Assign tasks dynamically based on role‑based mapping</t>
  </si>
  <si>
    <t>Task Manager FE &amp; BE – Phase 1</t>
  </si>
  <si>
    <t>Implement frontend and backend functionality for Task Manager Agent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</si>
</sst>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
    <numFmt numFmtId="166" formatCode="[$-409]d\-mmm\-yyyy;@"/>
    <numFmt numFmtId="167" formatCode="[$-409]d\-mmm\-yy;@"/>
  </numFmts>
  <fonts count="12">
    <font>
      <sz val="11"/>
      <color theme="1"/>
      <name val="Calibri"/>
      <family val="2"/>
      <scheme val="minor"/>
    </font>
    <font>
      <sz val="11"/>
      <color theme="1"/>
      <name val="Calibri"/>
      <scheme val="minor"/>
    </font>
    <font>
      <sz val="11"/>
      <color theme="1"/>
      <name val="Calibri"/>
      <scheme val="minor"/>
    </font>
    <font>
      <b/>
      <sz val="11"/>
      <color rgb="FF000000"/>
      <name val="Calibri"/>
    </font>
    <font>
      <b/>
      <sz val="11"/>
      <color theme="1"/>
      <name val="Calibri"/>
      <family val="2"/>
      <scheme val="minor"/>
    </font>
    <font>
      <sz val="11"/>
      <color rgb="FF000000"/>
      <name val="Calibri"/>
      <charset val="1"/>
    </font>
    <font>
      <sz val="11"/>
      <color rgb="FF000000"/>
      <name val="Calibri"/>
      <scheme val="minor"/>
    </font>
    <font>
      <sz val="11"/>
      <color rgb="FF000000"/>
      <name val="Calibri"/>
      <family val="2"/>
    </font>
    <font>
      <b/>
      <sz val="11"/>
      <color theme="1"/>
      <name val="Calibri"/>
      <scheme val="minor"/>
    </font>
    <font>
      <sz val="11"/>
      <color rgb="FF242424"/>
      <name val="Calibri"/>
      <scheme val="minor"/>
    </font>
    <font>
      <sz val="10"/>
      <color theme="1"/>
      <name val="Calibri"/>
      <scheme val="minor"/>
    </font>
    <font>
      <sz val="10"/>
      <color theme="1"/>
      <name val="Calibri"/>
      <family val="2"/>
      <scheme val="minor"/>
    </font>
  </fonts>
  <fills count="13">
    <fill>
      <patternFill patternType="none"/>
    </fill>
    <fill>
      <patternFill patternType="gray125"/>
    </fill>
    <fill>
      <patternFill patternType="solid">
        <fgColor rgb="FFFFEBEE"/>
        <bgColor rgb="FFFFEBEE"/>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0"/>
        <bgColor indexed="64"/>
      </patternFill>
    </fill>
    <fill>
      <patternFill patternType="solid">
        <fgColor rgb="FF92D050"/>
        <bgColor indexed="64"/>
      </patternFill>
    </fill>
    <fill>
      <patternFill patternType="solid">
        <fgColor rgb="FFFCD5B4"/>
        <bgColor indexed="64"/>
      </patternFill>
    </fill>
    <fill>
      <patternFill patternType="solid">
        <fgColor rgb="FF7030A0"/>
        <bgColor indexed="64"/>
      </patternFill>
    </fill>
    <fill>
      <patternFill patternType="solid">
        <fgColor rgb="FFFF0000"/>
        <bgColor indexed="64"/>
      </patternFill>
    </fill>
    <fill>
      <patternFill patternType="solid">
        <fgColor rgb="FF00B050"/>
        <bgColor indexed="64"/>
      </patternFill>
    </fill>
    <fill>
      <patternFill patternType="solid">
        <fgColor rgb="FFF25A5A"/>
        <bgColor indexed="64"/>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92">
    <xf numFmtId="0" fontId="0" fillId="0" borderId="0" xfId="0"/>
    <xf numFmtId="0" fontId="3" fillId="2"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2" xfId="0" applyBorder="1"/>
    <xf numFmtId="0" fontId="4" fillId="0" borderId="0" xfId="0" applyFont="1"/>
    <xf numFmtId="0" fontId="4" fillId="0" borderId="2" xfId="0" applyFont="1" applyBorder="1"/>
    <xf numFmtId="166" fontId="0" fillId="0" borderId="0" xfId="0" applyNumberFormat="1"/>
    <xf numFmtId="0" fontId="0" fillId="0" borderId="0" xfId="0" pivotButton="1"/>
    <xf numFmtId="0" fontId="4" fillId="3" borderId="3" xfId="0" applyFont="1" applyFill="1" applyBorder="1"/>
    <xf numFmtId="0" fontId="0" fillId="4" borderId="0" xfId="0" applyFill="1" applyAlignment="1">
      <alignment horizontal="center"/>
    </xf>
    <xf numFmtId="166" fontId="0" fillId="0" borderId="2" xfId="0" applyNumberFormat="1" applyBorder="1"/>
    <xf numFmtId="0" fontId="0" fillId="5" borderId="2" xfId="0" applyFill="1" applyBorder="1"/>
    <xf numFmtId="166" fontId="0" fillId="5" borderId="2" xfId="0" applyNumberFormat="1" applyFill="1" applyBorder="1"/>
    <xf numFmtId="0" fontId="0" fillId="0" borderId="2" xfId="0" applyBorder="1" applyAlignment="1">
      <alignment vertical="center"/>
    </xf>
    <xf numFmtId="0" fontId="4" fillId="0" borderId="2" xfId="0" applyFont="1" applyBorder="1" applyAlignment="1">
      <alignment horizontal="left" vertical="center" wrapText="1"/>
    </xf>
    <xf numFmtId="0" fontId="3" fillId="5" borderId="2" xfId="0" applyFont="1" applyFill="1" applyBorder="1" applyAlignment="1">
      <alignment horizontal="left" vertical="center" wrapText="1"/>
    </xf>
    <xf numFmtId="0" fontId="0" fillId="0" borderId="2" xfId="0" applyBorder="1" applyAlignment="1">
      <alignment horizontal="left" vertical="center" wrapText="1"/>
    </xf>
    <xf numFmtId="165" fontId="0" fillId="0" borderId="2" xfId="0" applyNumberFormat="1" applyBorder="1" applyAlignment="1">
      <alignment horizontal="left" vertical="center" wrapText="1"/>
    </xf>
    <xf numFmtId="0" fontId="3" fillId="2" borderId="4" xfId="0" applyFont="1" applyFill="1" applyBorder="1" applyAlignment="1">
      <alignment horizontal="center" vertical="center" wrapText="1"/>
    </xf>
    <xf numFmtId="16" fontId="0" fillId="0" borderId="2" xfId="0" applyNumberFormat="1" applyBorder="1"/>
    <xf numFmtId="166" fontId="4" fillId="0" borderId="2" xfId="0" applyNumberFormat="1" applyFont="1" applyBorder="1"/>
    <xf numFmtId="166" fontId="0" fillId="0" borderId="2" xfId="0" applyNumberFormat="1" applyBorder="1" applyAlignment="1">
      <alignment vertical="center"/>
    </xf>
    <xf numFmtId="0" fontId="0" fillId="0" borderId="5" xfId="0" applyBorder="1"/>
    <xf numFmtId="0" fontId="0" fillId="0" borderId="7" xfId="0" applyBorder="1"/>
    <xf numFmtId="166" fontId="0" fillId="0" borderId="7" xfId="0" applyNumberFormat="1" applyBorder="1"/>
    <xf numFmtId="0" fontId="0" fillId="0" borderId="6" xfId="0" applyBorder="1"/>
    <xf numFmtId="166" fontId="0" fillId="0" borderId="6" xfId="0" applyNumberFormat="1" applyBorder="1"/>
    <xf numFmtId="0" fontId="0" fillId="7" borderId="2" xfId="0" applyFill="1" applyBorder="1"/>
    <xf numFmtId="166" fontId="0" fillId="7" borderId="2" xfId="0" applyNumberFormat="1" applyFill="1" applyBorder="1"/>
    <xf numFmtId="0" fontId="0" fillId="0" borderId="2" xfId="0" applyBorder="1" applyAlignment="1">
      <alignment wrapText="1"/>
    </xf>
    <xf numFmtId="0" fontId="5" fillId="0" borderId="0" xfId="0" applyFont="1"/>
    <xf numFmtId="0" fontId="6" fillId="6" borderId="2" xfId="0" applyFont="1" applyFill="1" applyBorder="1"/>
    <xf numFmtId="0" fontId="3" fillId="2" borderId="2" xfId="0" applyFon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0" fontId="0" fillId="8" borderId="2" xfId="0" applyFill="1" applyBorder="1"/>
    <xf numFmtId="166" fontId="0" fillId="8" borderId="2" xfId="0" applyNumberFormat="1" applyFill="1" applyBorder="1"/>
    <xf numFmtId="0" fontId="0" fillId="9" borderId="2" xfId="0" applyFill="1" applyBorder="1"/>
    <xf numFmtId="0" fontId="0" fillId="10" borderId="2" xfId="0" applyFill="1" applyBorder="1"/>
    <xf numFmtId="0" fontId="4" fillId="0" borderId="10" xfId="0" applyFont="1" applyBorder="1"/>
    <xf numFmtId="0" fontId="0" fillId="0" borderId="10" xfId="0" applyBorder="1"/>
    <xf numFmtId="15" fontId="0" fillId="0" borderId="10" xfId="0" applyNumberFormat="1" applyBorder="1"/>
    <xf numFmtId="0" fontId="7" fillId="0" borderId="2" xfId="0" applyFont="1" applyBorder="1"/>
    <xf numFmtId="15" fontId="0" fillId="0" borderId="2" xfId="0" applyNumberFormat="1" applyBorder="1"/>
    <xf numFmtId="166" fontId="0" fillId="10" borderId="2" xfId="0" applyNumberFormat="1" applyFill="1" applyBorder="1"/>
    <xf numFmtId="0" fontId="0" fillId="10" borderId="2" xfId="0" applyFill="1" applyBorder="1" applyAlignment="1">
      <alignment vertical="center"/>
    </xf>
    <xf numFmtId="0" fontId="4" fillId="0" borderId="2" xfId="0" applyFont="1" applyBorder="1" applyAlignment="1">
      <alignment wrapText="1"/>
    </xf>
    <xf numFmtId="0" fontId="8" fillId="5" borderId="2" xfId="0" applyFont="1" applyFill="1" applyBorder="1" applyAlignment="1">
      <alignment horizontal="center" vertical="top" wrapText="1"/>
    </xf>
    <xf numFmtId="166" fontId="8" fillId="5" borderId="2" xfId="0" applyNumberFormat="1" applyFont="1" applyFill="1" applyBorder="1" applyAlignment="1">
      <alignment horizontal="center" vertical="top" wrapText="1"/>
    </xf>
    <xf numFmtId="0" fontId="8" fillId="5" borderId="2" xfId="0" applyFont="1" applyFill="1" applyBorder="1"/>
    <xf numFmtId="0" fontId="2" fillId="6" borderId="2" xfId="0" applyFont="1" applyFill="1" applyBorder="1"/>
    <xf numFmtId="0" fontId="6" fillId="6" borderId="2" xfId="0" applyFont="1" applyFill="1" applyBorder="1" applyAlignment="1">
      <alignment vertical="top" wrapText="1"/>
    </xf>
    <xf numFmtId="0" fontId="2" fillId="6" borderId="2" xfId="0" applyFont="1" applyFill="1" applyBorder="1" applyAlignment="1">
      <alignment wrapText="1"/>
    </xf>
    <xf numFmtId="0" fontId="9" fillId="6" borderId="2" xfId="0" applyFont="1" applyFill="1" applyBorder="1"/>
    <xf numFmtId="0" fontId="6" fillId="6" borderId="0" xfId="0" applyFont="1" applyFill="1"/>
    <xf numFmtId="0" fontId="6" fillId="6" borderId="8" xfId="0" applyFont="1" applyFill="1" applyBorder="1"/>
    <xf numFmtId="0" fontId="6" fillId="6" borderId="9" xfId="0" applyFont="1" applyFill="1" applyBorder="1"/>
    <xf numFmtId="0" fontId="2" fillId="11" borderId="2" xfId="0" applyFont="1" applyFill="1" applyBorder="1"/>
    <xf numFmtId="0" fontId="2" fillId="7" borderId="2" xfId="0" applyFont="1" applyFill="1" applyBorder="1"/>
    <xf numFmtId="166" fontId="2" fillId="5" borderId="2" xfId="0" applyNumberFormat="1" applyFont="1" applyFill="1" applyBorder="1"/>
    <xf numFmtId="0" fontId="2" fillId="5" borderId="2" xfId="0" applyFont="1" applyFill="1" applyBorder="1"/>
    <xf numFmtId="0" fontId="10" fillId="5" borderId="1" xfId="0" applyFont="1" applyFill="1" applyBorder="1" applyAlignment="1">
      <alignment wrapText="1"/>
    </xf>
    <xf numFmtId="14" fontId="10" fillId="5" borderId="1" xfId="0" applyNumberFormat="1" applyFont="1" applyFill="1" applyBorder="1" applyAlignment="1">
      <alignment wrapText="1"/>
    </xf>
    <xf numFmtId="9" fontId="10" fillId="5" borderId="14" xfId="0" applyNumberFormat="1" applyFont="1" applyFill="1" applyBorder="1" applyAlignment="1">
      <alignment wrapText="1"/>
    </xf>
    <xf numFmtId="0" fontId="10" fillId="5" borderId="13" xfId="0" applyFont="1" applyFill="1" applyBorder="1" applyAlignment="1">
      <alignment wrapText="1"/>
    </xf>
    <xf numFmtId="0" fontId="10" fillId="6" borderId="13" xfId="0" applyFont="1" applyFill="1" applyBorder="1" applyAlignment="1">
      <alignment wrapText="1"/>
    </xf>
    <xf numFmtId="0" fontId="10" fillId="6" borderId="1" xfId="0" applyFont="1" applyFill="1" applyBorder="1" applyAlignment="1">
      <alignment wrapText="1"/>
    </xf>
    <xf numFmtId="14" fontId="10" fillId="6" borderId="1" xfId="0" applyNumberFormat="1" applyFont="1" applyFill="1" applyBorder="1" applyAlignment="1">
      <alignment wrapText="1"/>
    </xf>
    <xf numFmtId="9" fontId="10" fillId="6" borderId="14" xfId="0" applyNumberFormat="1" applyFont="1" applyFill="1" applyBorder="1" applyAlignment="1">
      <alignment wrapText="1"/>
    </xf>
    <xf numFmtId="0" fontId="10" fillId="6" borderId="11" xfId="0" applyFont="1" applyFill="1" applyBorder="1" applyAlignment="1">
      <alignment wrapText="1"/>
    </xf>
    <xf numFmtId="0" fontId="10" fillId="6" borderId="4" xfId="0" applyFont="1" applyFill="1" applyBorder="1" applyAlignment="1">
      <alignment wrapText="1"/>
    </xf>
    <xf numFmtId="14" fontId="10" fillId="6" borderId="4" xfId="0" applyNumberFormat="1" applyFont="1" applyFill="1" applyBorder="1" applyAlignment="1">
      <alignment wrapText="1"/>
    </xf>
    <xf numFmtId="9" fontId="10" fillId="6" borderId="12" xfId="0" applyNumberFormat="1" applyFont="1" applyFill="1" applyBorder="1" applyAlignment="1">
      <alignment wrapText="1"/>
    </xf>
    <xf numFmtId="0" fontId="2" fillId="12" borderId="2" xfId="0" applyFont="1" applyFill="1" applyBorder="1"/>
    <xf numFmtId="0" fontId="11" fillId="6" borderId="1" xfId="0" applyFont="1" applyFill="1" applyBorder="1" applyAlignment="1">
      <alignment wrapText="1"/>
    </xf>
    <xf numFmtId="0" fontId="5" fillId="10" borderId="0" xfId="0" applyFont="1" applyFill="1"/>
    <xf numFmtId="166" fontId="0" fillId="0" borderId="1" xfId="0" applyNumberFormat="1" applyBorder="1" applyAlignment="1">
      <alignment horizontal="left" vertical="center" wrapText="1"/>
    </xf>
    <xf numFmtId="0" fontId="1" fillId="6" borderId="2" xfId="0" applyFont="1" applyFill="1" applyBorder="1" applyAlignment="1">
      <alignment vertical="top" wrapText="1"/>
    </xf>
    <xf numFmtId="166" fontId="1" fillId="6" borderId="2" xfId="0" applyNumberFormat="1" applyFont="1" applyFill="1" applyBorder="1" applyAlignment="1">
      <alignment vertical="top" wrapText="1"/>
    </xf>
    <xf numFmtId="0" fontId="1" fillId="6" borderId="2" xfId="0" applyFont="1" applyFill="1" applyBorder="1"/>
    <xf numFmtId="166" fontId="1" fillId="6" borderId="2" xfId="0" applyNumberFormat="1" applyFont="1" applyFill="1" applyBorder="1"/>
    <xf numFmtId="0" fontId="1" fillId="6" borderId="2" xfId="0" applyFont="1" applyFill="1" applyBorder="1" applyAlignment="1">
      <alignment wrapText="1"/>
    </xf>
    <xf numFmtId="0" fontId="1" fillId="6" borderId="0" xfId="0" applyFont="1" applyFill="1"/>
    <xf numFmtId="0" fontId="1" fillId="6" borderId="6" xfId="0" applyFont="1" applyFill="1" applyBorder="1"/>
    <xf numFmtId="166" fontId="1" fillId="6" borderId="2" xfId="0" applyNumberFormat="1" applyFont="1" applyFill="1" applyBorder="1" applyAlignment="1">
      <alignment wrapText="1"/>
    </xf>
    <xf numFmtId="0" fontId="1" fillId="11" borderId="2" xfId="0" applyFont="1" applyFill="1" applyBorder="1"/>
    <xf numFmtId="166" fontId="1" fillId="11" borderId="2" xfId="0" applyNumberFormat="1" applyFont="1" applyFill="1" applyBorder="1"/>
    <xf numFmtId="0" fontId="1" fillId="7" borderId="2" xfId="0" applyFont="1" applyFill="1" applyBorder="1"/>
    <xf numFmtId="166" fontId="1" fillId="7" borderId="2" xfId="0" applyNumberFormat="1" applyFont="1" applyFill="1" applyBorder="1"/>
    <xf numFmtId="0" fontId="1" fillId="12" borderId="2" xfId="0" applyFont="1" applyFill="1" applyBorder="1"/>
    <xf numFmtId="166" fontId="1" fillId="12" borderId="2" xfId="0" applyNumberFormat="1" applyFont="1" applyFill="1" applyBorder="1"/>
    <xf numFmtId="0" fontId="1" fillId="5" borderId="2" xfId="0" applyFont="1" applyFill="1" applyBorder="1"/>
    <xf numFmtId="166" fontId="1" fillId="5" borderId="2" xfId="0" applyNumberFormat="1" applyFont="1" applyFill="1" applyBorder="1"/>
  </cellXfs>
  <cellStyles count="1">
    <cellStyle name="Normal" xfId="0" builtinId="0"/>
  </cellStyles>
  <dxfs count="73">
    <dxf>
      <font>
        <b/>
        <i val="0"/>
        <strike val="0"/>
        <condense val="0"/>
        <extend val="0"/>
        <outline val="0"/>
        <shadow val="0"/>
        <u val="none"/>
        <vertAlign val="baseline"/>
        <sz val="11"/>
        <color theme="1"/>
        <name val="Calibri"/>
        <family val="2"/>
        <scheme val="minor"/>
      </font>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bgColor rgb="FFFFC7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colors>
    <mruColors>
      <color rgb="FFFCD5B4"/>
      <color rgb="FFF2DCDB"/>
      <color rgb="FFF25A5A"/>
      <color rgb="FFDA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'Completed', 'In Progress', 'Not Started' by 'Tasks Category'</a:t>
            </a:r>
          </a:p>
        </c:rich>
      </c:tx>
      <c:overlay val="0"/>
      <c:spPr>
        <a:noFill/>
        <a:ln>
          <a:noFill/>
          <a:prstDash val="solid"/>
        </a:ln>
      </c:spPr>
    </c:title>
    <c:autoTitleDeleted val="0"/>
    <c:plotArea>
      <c:layout/>
      <c:barChart>
        <c:barDir val="col"/>
        <c:grouping val="clustered"/>
        <c:varyColors val="0"/>
        <c:ser>
          <c:idx val="0"/>
          <c:order val="0"/>
          <c:tx>
            <c:strRef>
              <c:f>Sheet7!B1</c:f>
              <c:strCache>
                <c:ptCount val="1"/>
                <c:pt idx="0">
                  <c:v>Completed</c:v>
                </c:pt>
              </c:strCache>
            </c:strRef>
          </c:tx>
          <c:spPr>
            <a:solidFill>
              <a:schemeClr val="accent1"/>
            </a:solidFill>
            <a:ln>
              <a:noFill/>
              <a:prstDash val="solid"/>
            </a:ln>
          </c:spPr>
          <c:invertIfNegative val="0"/>
          <c:cat>
            <c:strRef>
              <c:f>Sheet7!$A$2:$A$4</c:f>
              <c:strCache>
                <c:ptCount val="3"/>
                <c:pt idx="0">
                  <c:v>Backend</c:v>
                </c:pt>
                <c:pt idx="1">
                  <c:v>Database</c:v>
                </c:pt>
                <c:pt idx="2">
                  <c:v>Frontend</c:v>
                </c:pt>
              </c:strCache>
            </c:strRef>
          </c:cat>
          <c:val>
            <c:numRef>
              <c:f>Sheet7!$B$2:$B$4</c:f>
              <c:numCache>
                <c:formatCode>General</c:formatCode>
                <c:ptCount val="3"/>
                <c:pt idx="1">
                  <c:v>2</c:v>
                </c:pt>
                <c:pt idx="2">
                  <c:v>2</c:v>
                </c:pt>
              </c:numCache>
            </c:numRef>
          </c:val>
          <c:extLst>
            <c:ext xmlns:c16="http://schemas.microsoft.com/office/drawing/2014/chart" uri="{C3380CC4-5D6E-409C-BE32-E72D297353CC}">
              <c16:uniqueId val="{00000000-EFB9-4EB2-9A98-D29E5CC53195}"/>
            </c:ext>
          </c:extLst>
        </c:ser>
        <c:ser>
          <c:idx val="1"/>
          <c:order val="1"/>
          <c:tx>
            <c:strRef>
              <c:f>Sheet7!C1</c:f>
              <c:strCache>
                <c:ptCount val="1"/>
                <c:pt idx="0">
                  <c:v>In Progress</c:v>
                </c:pt>
              </c:strCache>
            </c:strRef>
          </c:tx>
          <c:spPr>
            <a:solidFill>
              <a:schemeClr val="accent2"/>
            </a:solidFill>
            <a:ln>
              <a:noFill/>
              <a:prstDash val="solid"/>
            </a:ln>
          </c:spPr>
          <c:invertIfNegative val="0"/>
          <c:cat>
            <c:strRef>
              <c:f>Sheet7!$A$2:$A$4</c:f>
              <c:strCache>
                <c:ptCount val="3"/>
                <c:pt idx="0">
                  <c:v>Backend</c:v>
                </c:pt>
                <c:pt idx="1">
                  <c:v>Database</c:v>
                </c:pt>
                <c:pt idx="2">
                  <c:v>Frontend</c:v>
                </c:pt>
              </c:strCache>
            </c:strRef>
          </c:cat>
          <c:val>
            <c:numRef>
              <c:f>Sheet7!$C$2:$C$4</c:f>
              <c:numCache>
                <c:formatCode>General</c:formatCode>
                <c:ptCount val="3"/>
                <c:pt idx="0">
                  <c:v>1</c:v>
                </c:pt>
                <c:pt idx="1">
                  <c:v>4</c:v>
                </c:pt>
                <c:pt idx="2">
                  <c:v>3</c:v>
                </c:pt>
              </c:numCache>
            </c:numRef>
          </c:val>
          <c:extLst>
            <c:ext xmlns:c16="http://schemas.microsoft.com/office/drawing/2014/chart" uri="{C3380CC4-5D6E-409C-BE32-E72D297353CC}">
              <c16:uniqueId val="{00000001-EFB9-4EB2-9A98-D29E5CC53195}"/>
            </c:ext>
          </c:extLst>
        </c:ser>
        <c:ser>
          <c:idx val="2"/>
          <c:order val="2"/>
          <c:tx>
            <c:strRef>
              <c:f>Sheet7!D1</c:f>
              <c:strCache>
                <c:ptCount val="1"/>
                <c:pt idx="0">
                  <c:v>Not Started</c:v>
                </c:pt>
              </c:strCache>
            </c:strRef>
          </c:tx>
          <c:spPr>
            <a:solidFill>
              <a:schemeClr val="accent3"/>
            </a:solidFill>
            <a:ln>
              <a:noFill/>
              <a:prstDash val="solid"/>
            </a:ln>
          </c:spPr>
          <c:invertIfNegative val="0"/>
          <c:cat>
            <c:strRef>
              <c:f>Sheet7!$A$2:$A$4</c:f>
              <c:strCache>
                <c:ptCount val="3"/>
                <c:pt idx="0">
                  <c:v>Backend</c:v>
                </c:pt>
                <c:pt idx="1">
                  <c:v>Database</c:v>
                </c:pt>
                <c:pt idx="2">
                  <c:v>Frontend</c:v>
                </c:pt>
              </c:strCache>
            </c:strRef>
          </c:cat>
          <c:val>
            <c:numRef>
              <c:f>Sheet7!$D$2:$D$4</c:f>
              <c:numCache>
                <c:formatCode>General</c:formatCode>
                <c:ptCount val="3"/>
                <c:pt idx="0">
                  <c:v>17</c:v>
                </c:pt>
              </c:numCache>
            </c:numRef>
          </c:val>
          <c:extLst>
            <c:ext xmlns:c16="http://schemas.microsoft.com/office/drawing/2014/chart" uri="{C3380CC4-5D6E-409C-BE32-E72D297353CC}">
              <c16:uniqueId val="{00000002-EFB9-4EB2-9A98-D29E5CC53195}"/>
            </c:ext>
          </c:extLst>
        </c:ser>
        <c:dLbls>
          <c:showLegendKey val="0"/>
          <c:showVal val="0"/>
          <c:showCatName val="0"/>
          <c:showSerName val="0"/>
          <c:showPercent val="0"/>
          <c:showBubbleSize val="0"/>
        </c:dLbls>
        <c:gapWidth val="160"/>
        <c:overlap val="-30"/>
        <c:axId val="1485849607"/>
        <c:axId val="1485851655"/>
      </c:barChart>
      <c:catAx>
        <c:axId val="1485849607"/>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Tasks Category</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85851655"/>
        <c:crosses val="autoZero"/>
        <c:auto val="1"/>
        <c:lblAlgn val="ctr"/>
        <c:lblOffset val="100"/>
        <c:noMultiLvlLbl val="0"/>
      </c:catAx>
      <c:valAx>
        <c:axId val="14858516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85849607"/>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561975</xdr:colOff>
      <xdr:row>5</xdr:row>
      <xdr:rowOff>19050</xdr:rowOff>
    </xdr:from>
    <xdr:to>
      <xdr:col>9</xdr:col>
      <xdr:colOff>257175</xdr:colOff>
      <xdr:row>19</xdr:row>
      <xdr:rowOff>95250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42793750003" createdVersion="8" refreshedVersion="8" minRefreshableVersion="3" recordCount="30" xr:uid="{00000000-000A-0000-FFFF-FFFFDE020000}">
  <cacheSource type="worksheet">
    <worksheetSource ref="A1:M1048576" sheet="Tasks"/>
  </cacheSource>
  <cacheFields count="13">
    <cacheField name="Tasks ID" numFmtId="0">
      <sharedItems containsBlank="1"/>
    </cacheField>
    <cacheField name="Tasks List" numFmtId="0">
      <sharedItems containsBlank="1" count="30">
        <s v="Dashboard"/>
        <s v="Study Management"/>
        <s v="Data Integration"/>
        <s v="Trail Data Management"/>
        <s v="Data Manager.AI"/>
        <s v="DB Schema - Dashboard"/>
        <s v="DB Schema - Study Management"/>
        <s v="DB Schema - Data Integration"/>
        <s v="DB Schema - Trail Data Management"/>
        <s v="DB Schema - DataManager.AI"/>
        <s v="Populate Trail Data into PostgreSQL"/>
        <s v="Study Management - CRUD - DB"/>
        <s v="Creating and Integrate PostgreSQL DBs"/>
        <s v="Make Refresh, Pause, Actions - Dynamic"/>
        <s v="Scheduler"/>
        <s v="Integrate Integration Logs"/>
        <s v="Build Data Quality Checks Agent"/>
        <s v="Build Reconcilation Agent"/>
        <s v="Data Fetch Agent"/>
        <s v="DQ Processing Agent"/>
        <s v="Protocol Check Agent"/>
        <s v="Task Manager Agent"/>
        <s v="Test Study Management"/>
        <s v="Test Data Integration"/>
        <s v="Test Trail Data Management"/>
        <s v="Test Data Manager.AI"/>
        <s v="Maintain Complete Workflow "/>
        <s v="Real-Time Monitoring"/>
        <s v="Monitor.ai/Notifications"/>
        <m/>
      </sharedItems>
    </cacheField>
    <cacheField name="Tasks Category" numFmtId="0">
      <sharedItems containsBlank="1" count="4">
        <s v="Frontend"/>
        <s v="Database"/>
        <s v="Backend"/>
        <m/>
      </sharedItems>
    </cacheField>
    <cacheField name="Task Map" numFmtId="0">
      <sharedItems containsBlank="1"/>
    </cacheField>
    <cacheField name="Task Discreption" numFmtId="0">
      <sharedItems containsBlank="1"/>
    </cacheField>
    <cacheField name="Assigned To" numFmtId="0">
      <sharedItems containsBlank="1"/>
    </cacheField>
    <cacheField name="Start Date" numFmtId="167">
      <sharedItems containsNonDate="0" containsDate="1" containsString="0" containsBlank="1" minDate="2026-01-02T00:00:00" maxDate="2026-01-09T00:00:00"/>
    </cacheField>
    <cacheField name="Target Date" numFmtId="167">
      <sharedItems containsNonDate="0" containsDate="1" containsString="0" containsBlank="1" minDate="2025-01-06T00:00:00" maxDate="2026-01-10T00:00:00"/>
    </cacheField>
    <cacheField name="Actual End Date" numFmtId="0">
      <sharedItems containsNonDate="0" containsDate="1" containsString="0" containsBlank="1" minDate="2025-01-06T00:00:00" maxDate="2026-01-07T00:00:00"/>
    </cacheField>
    <cacheField name="Status" numFmtId="0">
      <sharedItems containsBlank="1" count="4">
        <s v="Completed"/>
        <s v="In Progress"/>
        <s v="Not Started"/>
        <m/>
      </sharedItems>
    </cacheField>
    <cacheField name="% Complete" numFmtId="0">
      <sharedItems containsNonDate="0" containsString="0" containsBlank="1"/>
    </cacheField>
    <cacheField name="Dependencies" numFmtId="0">
      <sharedItems containsNonDate="0" containsString="0" containsBlank="1"/>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4747962963" createdVersion="8" refreshedVersion="8" minRefreshableVersion="3" recordCount="29" xr:uid="{00000000-000A-0000-FFFF-FFFFDF020000}">
  <cacheSource type="worksheet">
    <worksheetSource ref="A1:M40" sheet="Tasks"/>
  </cacheSource>
  <cacheFields count="13">
    <cacheField name="Tasks ID" numFmtId="0">
      <sharedItems/>
    </cacheField>
    <cacheField name="Tasks List" numFmtId="0">
      <sharedItems/>
    </cacheField>
    <cacheField name="Tasks Category" numFmtId="0">
      <sharedItems count="3">
        <s v="Frontend"/>
        <s v="Database"/>
        <s v="Backend"/>
      </sharedItems>
    </cacheField>
    <cacheField name="Task Map" numFmtId="0">
      <sharedItems/>
    </cacheField>
    <cacheField name="Task Discreption" numFmtId="0">
      <sharedItems containsBlank="1"/>
    </cacheField>
    <cacheField name="Assigned To" numFmtId="0">
      <sharedItems count="9">
        <s v="Arthi/Tejasree"/>
        <s v="Ritesh"/>
        <s v="Deepta"/>
        <s v="Hanif"/>
        <s v="Ruthra"/>
        <s v="Priyeshwer"/>
        <s v="Ruthra/Hanif"/>
        <s v="Aarthi"/>
        <s v="Deepta/Tejashree"/>
      </sharedItems>
    </cacheField>
    <cacheField name="Start Date" numFmtId="167">
      <sharedItems containsNonDate="0" containsDate="1" containsString="0" containsBlank="1" minDate="2026-01-02T00:00:00" maxDate="2026-01-09T00:00:00"/>
    </cacheField>
    <cacheField name="Target Date" numFmtId="167">
      <sharedItems containsNonDate="0" containsDate="1" containsString="0" containsBlank="1" minDate="2025-01-06T00:00:00" maxDate="2026-01-10T00:00:00"/>
    </cacheField>
    <cacheField name="Actual End Date" numFmtId="0">
      <sharedItems containsNonDate="0" containsDate="1" containsString="0" containsBlank="1" minDate="2025-01-06T00:00:00" maxDate="2026-01-07T00:00:00"/>
    </cacheField>
    <cacheField name="Status" numFmtId="0">
      <sharedItems count="3">
        <s v="Completed"/>
        <s v="In Progress"/>
        <s v="Not Started"/>
      </sharedItems>
    </cacheField>
    <cacheField name="% Complete" numFmtId="0">
      <sharedItems containsNonDate="0" containsString="0" containsBlank="1"/>
    </cacheField>
    <cacheField name="Dependencies" numFmtId="0">
      <sharedItems containsNonDate="0" containsString="0" containsBlank="1"/>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0">
  <r>
    <s v="Dashboard"/>
    <x v="0"/>
    <x v="0"/>
    <s v="Dashboard"/>
    <m/>
    <s v="Arthi/Tejasree"/>
    <d v="2026-01-02T00:00:00"/>
    <d v="2026-01-05T00:00:00"/>
    <d v="2026-01-05T00:00:00"/>
    <x v="0"/>
    <m/>
    <m/>
    <m/>
  </r>
  <r>
    <s v="Study Management"/>
    <x v="1"/>
    <x v="0"/>
    <s v="Study Management"/>
    <m/>
    <s v="Arthi/Tejasree"/>
    <d v="2026-01-02T00:00:00"/>
    <d v="2026-01-05T00:00:00"/>
    <d v="2026-01-05T00:00:00"/>
    <x v="0"/>
    <m/>
    <m/>
    <m/>
  </r>
  <r>
    <s v="Data Integration"/>
    <x v="2"/>
    <x v="0"/>
    <s v="Data Integration"/>
    <m/>
    <s v="Arthi/Tejasree"/>
    <d v="2026-01-05T00:00:00"/>
    <d v="2026-01-07T00:00:00"/>
    <m/>
    <x v="1"/>
    <m/>
    <m/>
    <m/>
  </r>
  <r>
    <s v="Trail Data Management"/>
    <x v="3"/>
    <x v="0"/>
    <s v="Trail Data Management"/>
    <m/>
    <s v="Arthi/Tejasree"/>
    <d v="2026-01-05T00:00:00"/>
    <d v="2026-01-08T00:00:00"/>
    <m/>
    <x v="1"/>
    <m/>
    <m/>
    <m/>
  </r>
  <r>
    <s v="Data Manager.AI"/>
    <x v="4"/>
    <x v="0"/>
    <s v="Data Manager.AI"/>
    <m/>
    <s v="Arthi/Tejasree"/>
    <d v="2026-01-05T00:00:00"/>
    <d v="2026-01-08T00:00:00"/>
    <m/>
    <x v="1"/>
    <m/>
    <m/>
    <m/>
  </r>
  <r>
    <s v="DB Schema - Dashboard"/>
    <x v="5"/>
    <x v="1"/>
    <s v="Dashboard"/>
    <m/>
    <s v="Ritesh"/>
    <d v="2026-01-02T00:00:00"/>
    <d v="2025-01-06T00:00:00"/>
    <d v="2025-01-06T00:00:00"/>
    <x v="0"/>
    <m/>
    <m/>
    <m/>
  </r>
  <r>
    <s v="DB Schema - Study Management"/>
    <x v="6"/>
    <x v="1"/>
    <s v="Study Management"/>
    <m/>
    <s v="Ritesh"/>
    <d v="2026-01-06T00:00:00"/>
    <d v="2026-01-07T00:00:00"/>
    <m/>
    <x v="1"/>
    <m/>
    <m/>
    <m/>
  </r>
  <r>
    <s v="DB Schema - Data Integration"/>
    <x v="7"/>
    <x v="1"/>
    <s v="Data Integration"/>
    <m/>
    <s v="Deepta"/>
    <d v="2026-01-05T00:00:00"/>
    <d v="2026-01-06T00:00:00"/>
    <d v="2026-01-06T00:00:00"/>
    <x v="0"/>
    <m/>
    <m/>
    <m/>
  </r>
  <r>
    <s v="DB Schema - Trail Data Management"/>
    <x v="8"/>
    <x v="1"/>
    <s v="Trail Data Management"/>
    <m/>
    <s v="Ritesh"/>
    <d v="2026-01-06T00:00:00"/>
    <d v="2026-01-07T00:00:00"/>
    <m/>
    <x v="1"/>
    <m/>
    <m/>
    <m/>
  </r>
  <r>
    <s v="DB Schema - DataManager.AI"/>
    <x v="9"/>
    <x v="1"/>
    <s v="Data Manager.AI"/>
    <m/>
    <s v="Hanif"/>
    <d v="2026-01-06T00:00:00"/>
    <d v="2026-01-07T00:00:00"/>
    <m/>
    <x v="1"/>
    <m/>
    <m/>
    <m/>
  </r>
  <r>
    <s v="Populate Trail Data into PostgreSQL"/>
    <x v="10"/>
    <x v="1"/>
    <s v="Trail Data Management"/>
    <s v="Populate EDC Data(DM,SV,DS,AE...) into PostgreSQL"/>
    <s v="Ruthra"/>
    <d v="2026-01-08T00:00:00"/>
    <d v="2026-01-09T00:00:00"/>
    <m/>
    <x v="1"/>
    <m/>
    <m/>
    <m/>
  </r>
  <r>
    <s v="Study Management - CRUD - DB"/>
    <x v="11"/>
    <x v="2"/>
    <s v="Study Management"/>
    <s v="User should be able to create new studies, sites,studycontacts, vendors, documents."/>
    <s v="Priyeshwer"/>
    <m/>
    <m/>
    <m/>
    <x v="1"/>
    <m/>
    <m/>
    <m/>
  </r>
  <r>
    <s v="Creating and Integrate PostgreSQL DBs"/>
    <x v="12"/>
    <x v="2"/>
    <s v="Data Integration"/>
    <m/>
    <s v="Priyeshwer"/>
    <m/>
    <m/>
    <m/>
    <x v="2"/>
    <m/>
    <m/>
    <m/>
  </r>
  <r>
    <s v="Make Refresh, Pause, Actions - Dynamic"/>
    <x v="13"/>
    <x v="2"/>
    <s v="Data Integration"/>
    <m/>
    <s v="Priyeshwer"/>
    <m/>
    <m/>
    <m/>
    <x v="2"/>
    <m/>
    <m/>
    <m/>
  </r>
  <r>
    <s v="Scheduler"/>
    <x v="14"/>
    <x v="2"/>
    <s v="Data Integration"/>
    <m/>
    <s v="Deepta"/>
    <m/>
    <m/>
    <m/>
    <x v="2"/>
    <m/>
    <m/>
    <m/>
  </r>
  <r>
    <s v="Integrate Integration Logs"/>
    <x v="15"/>
    <x v="2"/>
    <s v="Data Integration"/>
    <m/>
    <s v="Priyeshwer"/>
    <m/>
    <m/>
    <m/>
    <x v="2"/>
    <m/>
    <m/>
    <m/>
  </r>
  <r>
    <s v="Build Data Quality Checks Agent"/>
    <x v="16"/>
    <x v="2"/>
    <s v="Data Manager.AI"/>
    <m/>
    <s v="Ruthra/Hanif"/>
    <m/>
    <m/>
    <m/>
    <x v="2"/>
    <m/>
    <m/>
    <m/>
  </r>
  <r>
    <s v="Build Reconcilation Agent"/>
    <x v="17"/>
    <x v="2"/>
    <s v="Data Manager.AI"/>
    <m/>
    <s v="Ruthra/Hanif"/>
    <m/>
    <m/>
    <m/>
    <x v="2"/>
    <m/>
    <m/>
    <m/>
  </r>
  <r>
    <s v="Data Fetch Agent"/>
    <x v="18"/>
    <x v="2"/>
    <s v="Data Manager.AI"/>
    <m/>
    <s v="Ruthra/Hanif"/>
    <m/>
    <m/>
    <m/>
    <x v="2"/>
    <m/>
    <m/>
    <m/>
  </r>
  <r>
    <s v="DQ Processing Agent"/>
    <x v="19"/>
    <x v="2"/>
    <s v="Data Manager.AI"/>
    <m/>
    <s v="Ruthra/Hanif"/>
    <m/>
    <m/>
    <m/>
    <x v="2"/>
    <m/>
    <m/>
    <m/>
  </r>
  <r>
    <s v="Protocol Check Agent"/>
    <x v="20"/>
    <x v="2"/>
    <s v="Data Manager.AI"/>
    <m/>
    <s v="Ruthra/Hanif"/>
    <m/>
    <m/>
    <m/>
    <x v="2"/>
    <m/>
    <m/>
    <m/>
  </r>
  <r>
    <s v="Task Manager Agent"/>
    <x v="21"/>
    <x v="2"/>
    <s v="Data Manager.AI"/>
    <m/>
    <s v="Ruthra/Hanif"/>
    <m/>
    <m/>
    <m/>
    <x v="2"/>
    <m/>
    <m/>
    <m/>
  </r>
  <r>
    <s v="Test Study Management"/>
    <x v="22"/>
    <x v="2"/>
    <s v="Study Management"/>
    <m/>
    <s v="Ritesh"/>
    <m/>
    <m/>
    <m/>
    <x v="2"/>
    <m/>
    <m/>
    <m/>
  </r>
  <r>
    <s v="Test Data Integration"/>
    <x v="23"/>
    <x v="2"/>
    <s v="Data Integration"/>
    <m/>
    <s v="Ritesh"/>
    <m/>
    <m/>
    <m/>
    <x v="2"/>
    <m/>
    <m/>
    <m/>
  </r>
  <r>
    <s v="Test Trail Data Management"/>
    <x v="24"/>
    <x v="2"/>
    <s v="Trail Data Management"/>
    <m/>
    <s v="Ritesh"/>
    <m/>
    <m/>
    <m/>
    <x v="2"/>
    <m/>
    <m/>
    <m/>
  </r>
  <r>
    <s v="Test Data Manager.AI"/>
    <x v="25"/>
    <x v="2"/>
    <s v="Data Manager.AI"/>
    <m/>
    <s v="Ritesh"/>
    <m/>
    <m/>
    <m/>
    <x v="2"/>
    <m/>
    <m/>
    <m/>
  </r>
  <r>
    <s v="Maintain Complete Workflow "/>
    <x v="26"/>
    <x v="2"/>
    <s v="Data Manager.AI"/>
    <m/>
    <s v="Ritesh"/>
    <m/>
    <m/>
    <m/>
    <x v="2"/>
    <m/>
    <m/>
    <m/>
  </r>
  <r>
    <s v="Real-Time Monitoring"/>
    <x v="27"/>
    <x v="2"/>
    <s v="Data Integration"/>
    <m/>
    <s v="Aarthi"/>
    <m/>
    <m/>
    <m/>
    <x v="2"/>
    <m/>
    <m/>
    <m/>
  </r>
  <r>
    <s v="Monitor.ai/Notifications"/>
    <x v="28"/>
    <x v="2"/>
    <s v="Data Integration"/>
    <m/>
    <s v="Deepta/Tejashree"/>
    <m/>
    <m/>
    <m/>
    <x v="2"/>
    <m/>
    <m/>
    <m/>
  </r>
  <r>
    <m/>
    <x v="29"/>
    <x v="3"/>
    <m/>
    <m/>
    <m/>
    <m/>
    <m/>
    <m/>
    <x v="3"/>
    <m/>
    <m/>
    <m/>
  </r>
</pivotCacheRecords>
</file>

<file path=xl/pivotCache/pivotCacheRecords2.xml><?xml version="1.0" encoding="utf-8"?>
<pivotCacheRecords xmlns="http://schemas.openxmlformats.org/spreadsheetml/2006/main" count="30">
  <r>
    <s v="Dashboard"/>
    <x v="0"/>
    <x v="0"/>
    <s v="Dashboard"/>
    <m/>
    <s v="Arthi/Tejasree"/>
    <d v="2026-01-02T00:00:00"/>
    <d v="2026-01-05T00:00:00"/>
    <d v="2026-01-05T00:00:00"/>
    <x v="0"/>
    <m/>
    <m/>
    <m/>
  </r>
  <r>
    <s v="Study Management"/>
    <x v="1"/>
    <x v="0"/>
    <s v="Study Management"/>
    <m/>
    <s v="Arthi/Tejasree"/>
    <d v="2026-01-02T00:00:00"/>
    <d v="2026-01-05T00:00:00"/>
    <d v="2026-01-05T00:00:00"/>
    <x v="0"/>
    <m/>
    <m/>
    <m/>
  </r>
  <r>
    <s v="Data Integration"/>
    <x v="2"/>
    <x v="0"/>
    <s v="Data Integration"/>
    <m/>
    <s v="Arthi/Tejasree"/>
    <d v="2026-01-05T00:00:00"/>
    <d v="2026-01-07T00:00:00"/>
    <m/>
    <x v="1"/>
    <m/>
    <m/>
    <m/>
  </r>
  <r>
    <s v="Trail Data Management"/>
    <x v="3"/>
    <x v="0"/>
    <s v="Trail Data Management"/>
    <m/>
    <s v="Arthi/Tejasree"/>
    <d v="2026-01-05T00:00:00"/>
    <d v="2026-01-08T00:00:00"/>
    <m/>
    <x v="1"/>
    <m/>
    <m/>
    <m/>
  </r>
  <r>
    <s v="Data Manager.AI"/>
    <x v="4"/>
    <x v="0"/>
    <s v="Data Manager.AI"/>
    <m/>
    <s v="Arthi/Tejasree"/>
    <d v="2026-01-05T00:00:00"/>
    <d v="2026-01-08T00:00:00"/>
    <m/>
    <x v="1"/>
    <m/>
    <m/>
    <m/>
  </r>
  <r>
    <s v="DB Schema - Dashboard"/>
    <x v="5"/>
    <x v="1"/>
    <s v="Dashboard"/>
    <m/>
    <s v="Ritesh"/>
    <d v="2026-01-02T00:00:00"/>
    <d v="2025-01-06T00:00:00"/>
    <d v="2025-01-06T00:00:00"/>
    <x v="0"/>
    <m/>
    <m/>
    <m/>
  </r>
  <r>
    <s v="DB Schema - Study Management"/>
    <x v="6"/>
    <x v="1"/>
    <s v="Study Management"/>
    <m/>
    <s v="Ritesh"/>
    <d v="2026-01-06T00:00:00"/>
    <d v="2026-01-07T00:00:00"/>
    <m/>
    <x v="1"/>
    <m/>
    <m/>
    <m/>
  </r>
  <r>
    <s v="DB Schema - Data Integration"/>
    <x v="7"/>
    <x v="1"/>
    <s v="Data Integration"/>
    <m/>
    <s v="Deepta"/>
    <d v="2026-01-05T00:00:00"/>
    <d v="2026-01-06T00:00:00"/>
    <d v="2026-01-06T00:00:00"/>
    <x v="0"/>
    <m/>
    <m/>
    <m/>
  </r>
  <r>
    <s v="DB Schema - Trail Data Management"/>
    <x v="8"/>
    <x v="1"/>
    <s v="Trail Data Management"/>
    <m/>
    <s v="Ritesh"/>
    <d v="2026-01-06T00:00:00"/>
    <d v="2026-01-07T00:00:00"/>
    <m/>
    <x v="1"/>
    <m/>
    <m/>
    <m/>
  </r>
  <r>
    <s v="DB Schema - DataManager.AI"/>
    <x v="9"/>
    <x v="1"/>
    <s v="Data Manager.AI"/>
    <m/>
    <s v="Hanif"/>
    <d v="2026-01-06T00:00:00"/>
    <d v="2026-01-07T00:00:00"/>
    <m/>
    <x v="1"/>
    <m/>
    <m/>
    <m/>
  </r>
  <r>
    <s v="Populate Trail Data into PostgreSQL"/>
    <x v="10"/>
    <x v="1"/>
    <s v="Trail Data Management"/>
    <s v="Populate EDC Data(DM,SV,DS,AE...) into PostgreSQL"/>
    <s v="Ruthra"/>
    <d v="2026-01-08T00:00:00"/>
    <d v="2026-01-09T00:00:00"/>
    <m/>
    <x v="1"/>
    <m/>
    <m/>
    <m/>
  </r>
  <r>
    <s v="Study Management - CRUD - DB"/>
    <x v="11"/>
    <x v="2"/>
    <s v="Study Management"/>
    <s v="User should be able to create new studies, sites,studycontacts, vendors, documents."/>
    <s v="Priyeshwer"/>
    <m/>
    <m/>
    <m/>
    <x v="1"/>
    <m/>
    <m/>
    <m/>
  </r>
  <r>
    <s v="Creating and Integrate PostgreSQL DBs"/>
    <x v="12"/>
    <x v="2"/>
    <s v="Data Integration"/>
    <m/>
    <s v="Priyeshwer"/>
    <m/>
    <m/>
    <m/>
    <x v="2"/>
    <m/>
    <m/>
    <m/>
  </r>
  <r>
    <s v="Make Refresh, Pause, Actions - Dynamic"/>
    <x v="13"/>
    <x v="2"/>
    <s v="Data Integration"/>
    <m/>
    <s v="Priyeshwer"/>
    <m/>
    <m/>
    <m/>
    <x v="2"/>
    <m/>
    <m/>
    <m/>
  </r>
  <r>
    <s v="Scheduler"/>
    <x v="14"/>
    <x v="2"/>
    <s v="Data Integration"/>
    <m/>
    <s v="Deepta"/>
    <m/>
    <m/>
    <m/>
    <x v="2"/>
    <m/>
    <m/>
    <m/>
  </r>
  <r>
    <s v="Integrate Integration Logs"/>
    <x v="15"/>
    <x v="2"/>
    <s v="Data Integration"/>
    <m/>
    <s v="Priyeshwer"/>
    <m/>
    <m/>
    <m/>
    <x v="2"/>
    <m/>
    <m/>
    <m/>
  </r>
  <r>
    <s v="Build Data Quality Checks Agent"/>
    <x v="16"/>
    <x v="2"/>
    <s v="Data Manager.AI"/>
    <m/>
    <s v="Ruthra/Hanif"/>
    <m/>
    <m/>
    <m/>
    <x v="2"/>
    <m/>
    <m/>
    <m/>
  </r>
  <r>
    <s v="Build Reconcilation Agent"/>
    <x v="17"/>
    <x v="2"/>
    <s v="Data Manager.AI"/>
    <m/>
    <s v="Ruthra/Hanif"/>
    <m/>
    <m/>
    <m/>
    <x v="2"/>
    <m/>
    <m/>
    <m/>
  </r>
  <r>
    <s v="Data Fetch Agent"/>
    <x v="18"/>
    <x v="2"/>
    <s v="Data Manager.AI"/>
    <m/>
    <s v="Ruthra/Hanif"/>
    <m/>
    <m/>
    <m/>
    <x v="2"/>
    <m/>
    <m/>
    <m/>
  </r>
  <r>
    <s v="DQ Processing Agent"/>
    <x v="19"/>
    <x v="2"/>
    <s v="Data Manager.AI"/>
    <m/>
    <s v="Ruthra/Hanif"/>
    <m/>
    <m/>
    <m/>
    <x v="2"/>
    <m/>
    <m/>
    <m/>
  </r>
  <r>
    <s v="Protocol Check Agent"/>
    <x v="20"/>
    <x v="2"/>
    <s v="Data Manager.AI"/>
    <m/>
    <s v="Ruthra/Hanif"/>
    <m/>
    <m/>
    <m/>
    <x v="2"/>
    <m/>
    <m/>
    <m/>
  </r>
  <r>
    <s v="Task Manager Agent"/>
    <x v="21"/>
    <x v="2"/>
    <s v="Data Manager.AI"/>
    <m/>
    <s v="Ruthra/Hanif"/>
    <m/>
    <m/>
    <m/>
    <x v="2"/>
    <m/>
    <m/>
    <m/>
  </r>
  <r>
    <s v="Test Study Management"/>
    <x v="22"/>
    <x v="2"/>
    <s v="Study Management"/>
    <m/>
    <s v="Ritesh"/>
    <m/>
    <m/>
    <m/>
    <x v="2"/>
    <m/>
    <m/>
    <m/>
  </r>
  <r>
    <s v="Test Data Integration"/>
    <x v="23"/>
    <x v="2"/>
    <s v="Data Integration"/>
    <m/>
    <s v="Ritesh"/>
    <m/>
    <m/>
    <m/>
    <x v="2"/>
    <m/>
    <m/>
    <m/>
  </r>
  <r>
    <s v="Test Trail Data Management"/>
    <x v="24"/>
    <x v="2"/>
    <s v="Trail Data Management"/>
    <m/>
    <s v="Ritesh"/>
    <m/>
    <m/>
    <m/>
    <x v="2"/>
    <m/>
    <m/>
    <m/>
  </r>
  <r>
    <s v="Test Data Manager.AI"/>
    <x v="25"/>
    <x v="2"/>
    <s v="Data Manager.AI"/>
    <m/>
    <s v="Ritesh"/>
    <m/>
    <m/>
    <m/>
    <x v="2"/>
    <m/>
    <m/>
    <m/>
  </r>
  <r>
    <s v="Maintain Complete Workflow "/>
    <x v="26"/>
    <x v="2"/>
    <s v="Data Manager.AI"/>
    <m/>
    <s v="Ritesh"/>
    <m/>
    <m/>
    <m/>
    <x v="2"/>
    <m/>
    <m/>
    <m/>
  </r>
  <r>
    <s v="Real-Time Monitoring"/>
    <x v="27"/>
    <x v="2"/>
    <s v="Data Integration"/>
    <m/>
    <s v="Aarthi"/>
    <m/>
    <m/>
    <m/>
    <x v="2"/>
    <m/>
    <m/>
    <m/>
  </r>
  <r>
    <s v="Monitor.ai/Notifications"/>
    <x v="28"/>
    <x v="2"/>
    <s v="Data Integration"/>
    <m/>
    <s v="Deepta/Tejashree"/>
    <m/>
    <m/>
    <m/>
    <x v="2"/>
    <m/>
    <m/>
    <m/>
  </r>
  <r>
    <m/>
    <x v="29"/>
    <x v="3"/>
    <m/>
    <m/>
    <m/>
    <m/>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1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8" firstHeaderRow="1" firstDataRow="2" firstDataCol="1"/>
  <pivotFields count="13">
    <pivotField compact="0" outline="0" showAll="0"/>
    <pivotField compact="0" outline="0" showAll="0">
      <items count="31">
        <item x="16"/>
        <item x="17"/>
        <item x="12"/>
        <item x="0"/>
        <item x="18"/>
        <item x="2"/>
        <item x="4"/>
        <item x="5"/>
        <item x="7"/>
        <item x="9"/>
        <item x="6"/>
        <item x="8"/>
        <item x="19"/>
        <item x="15"/>
        <item x="26"/>
        <item x="13"/>
        <item x="28"/>
        <item x="10"/>
        <item x="20"/>
        <item x="27"/>
        <item x="14"/>
        <item x="1"/>
        <item x="11"/>
        <item x="21"/>
        <item x="23"/>
        <item x="25"/>
        <item x="22"/>
        <item x="24"/>
        <item x="3"/>
        <item x="29"/>
        <item t="default"/>
      </items>
    </pivotField>
    <pivotField axis="axisRow"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5">
        <item x="0"/>
        <item x="1"/>
        <item x="2"/>
        <item x="3"/>
        <item t="default"/>
      </items>
    </pivotField>
    <pivotField compact="0" outline="0" showAll="0"/>
    <pivotField compact="0" outline="0" showAll="0"/>
    <pivotField compact="0" outline="0" showAll="0"/>
  </pivotFields>
  <rowFields count="1">
    <field x="2"/>
  </rowFields>
  <rowItems count="5">
    <i>
      <x/>
    </i>
    <i>
      <x v="1"/>
    </i>
    <i>
      <x v="2"/>
    </i>
    <i>
      <x v="3"/>
    </i>
    <i t="grand">
      <x/>
    </i>
  </rowItems>
  <colFields count="1">
    <field x="9"/>
  </colFields>
  <colItems count="5">
    <i>
      <x/>
    </i>
    <i>
      <x v="1"/>
    </i>
    <i>
      <x v="2"/>
    </i>
    <i>
      <x v="3"/>
    </i>
    <i t="grand">
      <x/>
    </i>
  </colItems>
  <dataFields count="1">
    <dataField name="Count of Status" fld="9"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2" cacheId="1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2" firstHeaderRow="1" firstDataRow="1" firstDataCol="1"/>
  <pivotFields count="13">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10">
        <item x="7"/>
        <item x="0"/>
        <item x="2"/>
        <item x="8"/>
        <item x="3"/>
        <item x="5"/>
        <item x="1"/>
        <item x="4"/>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10">
    <i>
      <x v="6"/>
    </i>
    <i>
      <x v="8"/>
    </i>
    <i>
      <x v="1"/>
    </i>
    <i>
      <x v="5"/>
    </i>
    <i>
      <x v="2"/>
    </i>
    <i>
      <x v="7"/>
    </i>
    <i>
      <x/>
    </i>
    <i>
      <x v="3"/>
    </i>
    <i>
      <x v="4"/>
    </i>
    <i t="grand">
      <x/>
    </i>
  </rowItems>
  <colItems count="1">
    <i/>
  </colItems>
  <dataFields count="1">
    <dataField name="Count of Assigned To" fld="5"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3" cacheId="1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13" firstHeaderRow="1" firstDataRow="2" firstDataCol="1"/>
  <pivotFields count="13">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10">
        <item x="7"/>
        <item x="0"/>
        <item x="2"/>
        <item x="8"/>
        <item x="3"/>
        <item x="5"/>
        <item x="1"/>
        <item x="4"/>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5"/>
  </rowFields>
  <rowItems count="10">
    <i>
      <x v="6"/>
    </i>
    <i>
      <x v="8"/>
    </i>
    <i>
      <x v="1"/>
    </i>
    <i>
      <x v="5"/>
    </i>
    <i>
      <x v="2"/>
    </i>
    <i>
      <x v="7"/>
    </i>
    <i>
      <x/>
    </i>
    <i>
      <x v="3"/>
    </i>
    <i>
      <x v="4"/>
    </i>
    <i t="grand">
      <x/>
    </i>
  </rowItems>
  <colFields count="1">
    <field x="9"/>
  </colFields>
  <colItems count="4">
    <i>
      <x v="2"/>
    </i>
    <i>
      <x v="1"/>
    </i>
    <i>
      <x/>
    </i>
    <i t="grand">
      <x/>
    </i>
  </colItems>
  <dataFields count="1">
    <dataField name="Count of Assigned To" fld="5"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B00-000003000000}" name="PivotTable4" cacheId="1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18" firstHeaderRow="1" firstDataRow="2" firstDataCol="2"/>
  <pivotFields count="13">
    <pivotField compact="0" outline="0" showAll="0"/>
    <pivotField compact="0" outline="0" showAll="0"/>
    <pivotField axis="axisRow" dataField="1" compact="0" outline="0" showAll="0">
      <items count="4">
        <item x="2"/>
        <item x="1"/>
        <item x="0"/>
        <item t="default"/>
      </items>
    </pivotField>
    <pivotField compact="0" outline="0" showAll="0"/>
    <pivotField compact="0" outline="0" showAll="0"/>
    <pivotField axis="axisRow" compact="0" outline="0" showAll="0" sortType="descending">
      <items count="10">
        <item x="7"/>
        <item x="0"/>
        <item x="2"/>
        <item x="8"/>
        <item x="3"/>
        <item x="5"/>
        <item x="1"/>
        <item x="4"/>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2">
    <field x="2"/>
    <field x="5"/>
  </rowFields>
  <rowItems count="15">
    <i>
      <x/>
      <x v="8"/>
    </i>
    <i r="1">
      <x v="6"/>
    </i>
    <i r="1">
      <x v="5"/>
    </i>
    <i r="1">
      <x v="2"/>
    </i>
    <i r="1">
      <x/>
    </i>
    <i r="1">
      <x v="3"/>
    </i>
    <i t="default">
      <x/>
    </i>
    <i>
      <x v="1"/>
      <x v="6"/>
    </i>
    <i r="1">
      <x v="7"/>
    </i>
    <i r="1">
      <x v="2"/>
    </i>
    <i r="1">
      <x v="4"/>
    </i>
    <i t="default">
      <x v="1"/>
    </i>
    <i>
      <x v="2"/>
      <x v="1"/>
    </i>
    <i t="default">
      <x v="2"/>
    </i>
    <i t="grand">
      <x/>
    </i>
  </rowItems>
  <colFields count="1">
    <field x="9"/>
  </colFields>
  <colItems count="4">
    <i>
      <x v="2"/>
    </i>
    <i>
      <x v="1"/>
    </i>
    <i>
      <x/>
    </i>
    <i t="grand">
      <x/>
    </i>
  </colItems>
  <dataFields count="1">
    <dataField name="Count of Tasks Category" fld="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595CAD-E0DD-454B-A99E-771C74941828}" name="Table1" displayName="Table1" ref="A1:H37" totalsRowShown="0" headerRowDxfId="0">
  <autoFilter ref="A1:H37" xr:uid="{C9595CAD-E0DD-454B-A99E-771C74941828}"/>
  <tableColumns count="8">
    <tableColumn id="1" xr3:uid="{35B3FD2B-FCB2-4213-859D-8ED75718E71E}" name="Milestone"/>
    <tableColumn id="2" xr3:uid="{B1C57DB2-F6F6-4346-8B18-BB18B1C5A0C8}" name="Status"/>
    <tableColumn id="3" xr3:uid="{99D0F5F8-98A3-4AC4-AF37-FFCCAAA14278}" name="Task Name"/>
    <tableColumn id="4" xr3:uid="{6A9B8536-22BF-43AD-8733-E9417FA35BD5}" name="Task Description"/>
    <tableColumn id="5" xr3:uid="{400AB7DA-51CA-429C-A0EE-A5A53EAC1D33}" name="Module"/>
    <tableColumn id="6" xr3:uid="{D345FF0D-7A89-486D-AC80-31BED5B6CA10}" name="Assigned To"/>
    <tableColumn id="7" xr3:uid="{2E04E560-840A-4354-8872-1C7269E3B4EE}" name="Task Status"/>
    <tableColumn id="8" xr3:uid="{4E5BF9B4-97F0-4A40-9467-7AEC90D80BA4}" na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7"/>
  <sheetViews>
    <sheetView workbookViewId="0">
      <selection activeCell="B5" sqref="B5"/>
    </sheetView>
  </sheetViews>
  <sheetFormatPr defaultRowHeight="14.45"/>
  <cols>
    <col min="1" max="1" width="28" customWidth="1"/>
    <col min="2" max="2" width="40" customWidth="1"/>
  </cols>
  <sheetData>
    <row r="1" spans="1:2">
      <c r="A1" s="1" t="s">
        <v>0</v>
      </c>
      <c r="B1" s="1" t="s">
        <v>1</v>
      </c>
    </row>
    <row r="2" spans="1:2" ht="15" customHeight="1">
      <c r="A2" s="2" t="s">
        <v>2</v>
      </c>
      <c r="B2" s="2" t="s">
        <v>3</v>
      </c>
    </row>
    <row r="3" spans="1:2" ht="15">
      <c r="A3" s="2" t="s">
        <v>4</v>
      </c>
      <c r="B3" s="2" t="s">
        <v>5</v>
      </c>
    </row>
    <row r="4" spans="1:2" ht="15" customHeight="1">
      <c r="A4" s="2" t="s">
        <v>6</v>
      </c>
      <c r="B4" s="75">
        <v>46063</v>
      </c>
    </row>
    <row r="5" spans="1:2" ht="15">
      <c r="A5" s="2" t="s">
        <v>7</v>
      </c>
      <c r="B5" s="75">
        <v>46162</v>
      </c>
    </row>
    <row r="6" spans="1:2">
      <c r="A6" s="2" t="s">
        <v>8</v>
      </c>
      <c r="B6" s="2" t="s">
        <v>9</v>
      </c>
    </row>
    <row r="7" spans="1:2" ht="15">
      <c r="A7" s="2" t="s">
        <v>10</v>
      </c>
      <c r="B7" s="75">
        <v>46178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M155"/>
  <sheetViews>
    <sheetView topLeftCell="A135" workbookViewId="0">
      <selection activeCell="A150" sqref="A150:XFD150"/>
    </sheetView>
  </sheetViews>
  <sheetFormatPr defaultRowHeight="15"/>
  <cols>
    <col min="1" max="1" width="77.140625" style="59" bestFit="1" customWidth="1"/>
    <col min="2" max="2" width="117.140625" style="59" bestFit="1" customWidth="1"/>
    <col min="3" max="3" width="12.5703125" style="59" bestFit="1" customWidth="1"/>
    <col min="4" max="4" width="25.85546875" style="59" bestFit="1" customWidth="1"/>
    <col min="5" max="5" width="37.5703125" style="59" bestFit="1" customWidth="1"/>
    <col min="6" max="6" width="28.85546875" style="59" bestFit="1" customWidth="1"/>
    <col min="7" max="7" width="12.5703125" style="58" bestFit="1" customWidth="1"/>
    <col min="8" max="8" width="13.85546875" style="58" bestFit="1" customWidth="1"/>
    <col min="9" max="9" width="17.85546875" style="58" bestFit="1" customWidth="1"/>
    <col min="10" max="10" width="10.7109375" style="59" bestFit="1" customWidth="1"/>
    <col min="11" max="11" width="14.140625" style="59" bestFit="1" customWidth="1"/>
    <col min="12" max="12" width="16.140625" style="59" bestFit="1" customWidth="1"/>
    <col min="13" max="13" width="13" style="59" bestFit="1" customWidth="1"/>
    <col min="14" max="16384" width="9.140625" style="59"/>
  </cols>
  <sheetData>
    <row r="1" spans="1:13" s="48" customFormat="1">
      <c r="A1" s="46" t="s">
        <v>11</v>
      </c>
      <c r="B1" s="46" t="s">
        <v>12</v>
      </c>
      <c r="C1" s="46" t="s">
        <v>13</v>
      </c>
      <c r="D1" s="46" t="s">
        <v>14</v>
      </c>
      <c r="E1" s="46" t="s">
        <v>15</v>
      </c>
      <c r="F1" s="46" t="s">
        <v>16</v>
      </c>
      <c r="G1" s="47" t="s">
        <v>6</v>
      </c>
      <c r="H1" s="47" t="s">
        <v>17</v>
      </c>
      <c r="I1" s="47" t="s">
        <v>18</v>
      </c>
      <c r="J1" s="46" t="s">
        <v>19</v>
      </c>
      <c r="K1" s="46" t="s">
        <v>20</v>
      </c>
      <c r="L1" s="46" t="s">
        <v>21</v>
      </c>
      <c r="M1" s="46" t="s">
        <v>22</v>
      </c>
    </row>
    <row r="2" spans="1:13" s="49" customFormat="1">
      <c r="A2" s="76" t="s">
        <v>23</v>
      </c>
      <c r="B2" s="76" t="s">
        <v>24</v>
      </c>
      <c r="C2" s="76"/>
      <c r="D2" s="76" t="s">
        <v>25</v>
      </c>
      <c r="E2" s="76" t="s">
        <v>26</v>
      </c>
      <c r="F2" s="76" t="s">
        <v>27</v>
      </c>
      <c r="G2" s="77">
        <v>46038</v>
      </c>
      <c r="H2" s="77">
        <v>46038</v>
      </c>
      <c r="I2" s="77">
        <v>46038</v>
      </c>
      <c r="J2" s="78" t="s">
        <v>28</v>
      </c>
      <c r="K2" s="76">
        <v>100</v>
      </c>
      <c r="L2" s="76"/>
      <c r="M2" s="76"/>
    </row>
    <row r="3" spans="1:13" s="49" customFormat="1">
      <c r="A3" s="76" t="s">
        <v>29</v>
      </c>
      <c r="B3" s="76" t="s">
        <v>30</v>
      </c>
      <c r="C3" s="76"/>
      <c r="D3" s="76" t="s">
        <v>25</v>
      </c>
      <c r="E3" s="76" t="s">
        <v>26</v>
      </c>
      <c r="F3" s="76" t="s">
        <v>31</v>
      </c>
      <c r="G3" s="77">
        <v>46038</v>
      </c>
      <c r="H3" s="77">
        <v>46038</v>
      </c>
      <c r="I3" s="77">
        <v>46038</v>
      </c>
      <c r="J3" s="78" t="s">
        <v>28</v>
      </c>
      <c r="K3" s="76">
        <v>100</v>
      </c>
      <c r="L3" s="76"/>
      <c r="M3" s="76"/>
    </row>
    <row r="4" spans="1:13" s="49" customFormat="1">
      <c r="A4" s="76" t="s">
        <v>32</v>
      </c>
      <c r="B4" s="76" t="s">
        <v>33</v>
      </c>
      <c r="C4" s="76"/>
      <c r="D4" s="76" t="s">
        <v>25</v>
      </c>
      <c r="E4" s="76" t="s">
        <v>26</v>
      </c>
      <c r="F4" s="76" t="s">
        <v>34</v>
      </c>
      <c r="G4" s="77">
        <v>46038</v>
      </c>
      <c r="H4" s="77">
        <v>46038</v>
      </c>
      <c r="I4" s="77">
        <v>46038</v>
      </c>
      <c r="J4" s="78" t="s">
        <v>28</v>
      </c>
      <c r="K4" s="76">
        <v>100</v>
      </c>
      <c r="L4" s="76"/>
      <c r="M4" s="76"/>
    </row>
    <row r="5" spans="1:13" s="49" customFormat="1">
      <c r="A5" s="76" t="s">
        <v>35</v>
      </c>
      <c r="B5" s="76" t="s">
        <v>36</v>
      </c>
      <c r="C5" s="76"/>
      <c r="D5" s="76" t="s">
        <v>25</v>
      </c>
      <c r="E5" s="76" t="s">
        <v>26</v>
      </c>
      <c r="F5" s="76" t="s">
        <v>37</v>
      </c>
      <c r="G5" s="77">
        <v>46038</v>
      </c>
      <c r="H5" s="77">
        <v>46038</v>
      </c>
      <c r="I5" s="77">
        <v>46038</v>
      </c>
      <c r="J5" s="78" t="s">
        <v>28</v>
      </c>
      <c r="K5" s="76">
        <v>100</v>
      </c>
      <c r="L5" s="76"/>
      <c r="M5" s="76"/>
    </row>
    <row r="6" spans="1:13" s="49" customFormat="1">
      <c r="A6" s="76" t="s">
        <v>38</v>
      </c>
      <c r="B6" s="76" t="s">
        <v>39</v>
      </c>
      <c r="C6" s="76"/>
      <c r="D6" s="76" t="s">
        <v>25</v>
      </c>
      <c r="E6" s="76" t="s">
        <v>26</v>
      </c>
      <c r="F6" s="76" t="s">
        <v>40</v>
      </c>
      <c r="G6" s="77">
        <v>46038</v>
      </c>
      <c r="H6" s="77">
        <v>46038</v>
      </c>
      <c r="I6" s="77">
        <v>46038</v>
      </c>
      <c r="J6" s="78" t="s">
        <v>28</v>
      </c>
      <c r="K6" s="76">
        <v>100</v>
      </c>
      <c r="L6" s="76"/>
      <c r="M6" s="76"/>
    </row>
    <row r="7" spans="1:13" s="49" customFormat="1">
      <c r="A7" s="76" t="s">
        <v>41</v>
      </c>
      <c r="B7" s="76" t="s">
        <v>42</v>
      </c>
      <c r="C7" s="76"/>
      <c r="D7" s="76" t="s">
        <v>43</v>
      </c>
      <c r="E7" s="76" t="s">
        <v>43</v>
      </c>
      <c r="F7" s="76" t="s">
        <v>44</v>
      </c>
      <c r="G7" s="77">
        <v>46038</v>
      </c>
      <c r="H7" s="77">
        <v>46042</v>
      </c>
      <c r="I7" s="77">
        <v>46042</v>
      </c>
      <c r="J7" s="78" t="s">
        <v>28</v>
      </c>
      <c r="K7" s="76">
        <v>100</v>
      </c>
      <c r="L7" s="76"/>
      <c r="M7" s="76"/>
    </row>
    <row r="8" spans="1:13" s="49" customFormat="1" ht="30.75">
      <c r="A8" s="76" t="s">
        <v>45</v>
      </c>
      <c r="B8" s="76" t="s">
        <v>46</v>
      </c>
      <c r="C8" s="76"/>
      <c r="D8" s="76" t="s">
        <v>43</v>
      </c>
      <c r="E8" s="76" t="s">
        <v>43</v>
      </c>
      <c r="F8" s="76" t="s">
        <v>47</v>
      </c>
      <c r="G8" s="77">
        <v>46038</v>
      </c>
      <c r="H8" s="77">
        <v>46042</v>
      </c>
      <c r="I8" s="77">
        <v>46042</v>
      </c>
      <c r="J8" s="78" t="s">
        <v>28</v>
      </c>
      <c r="K8" s="76">
        <v>100</v>
      </c>
      <c r="L8" s="76"/>
      <c r="M8" s="76"/>
    </row>
    <row r="9" spans="1:13" s="49" customFormat="1" ht="45.75">
      <c r="A9" s="76" t="s">
        <v>48</v>
      </c>
      <c r="B9" s="76" t="s">
        <v>49</v>
      </c>
      <c r="C9" s="76"/>
      <c r="D9" s="76" t="s">
        <v>43</v>
      </c>
      <c r="E9" s="76" t="s">
        <v>43</v>
      </c>
      <c r="F9" s="76" t="s">
        <v>50</v>
      </c>
      <c r="G9" s="77">
        <v>46042</v>
      </c>
      <c r="H9" s="77">
        <v>46045</v>
      </c>
      <c r="I9" s="77">
        <v>46045</v>
      </c>
      <c r="J9" s="78" t="s">
        <v>28</v>
      </c>
      <c r="K9" s="76">
        <v>100</v>
      </c>
      <c r="L9" s="76"/>
      <c r="M9" s="76"/>
    </row>
    <row r="10" spans="1:13" s="49" customFormat="1" ht="45.75">
      <c r="A10" s="76" t="s">
        <v>51</v>
      </c>
      <c r="B10" s="76" t="s">
        <v>52</v>
      </c>
      <c r="C10" s="76"/>
      <c r="D10" s="76" t="s">
        <v>43</v>
      </c>
      <c r="E10" s="76" t="s">
        <v>43</v>
      </c>
      <c r="F10" s="76" t="s">
        <v>50</v>
      </c>
      <c r="G10" s="77">
        <v>46042</v>
      </c>
      <c r="H10" s="77">
        <v>46045</v>
      </c>
      <c r="I10" s="77">
        <v>46045</v>
      </c>
      <c r="J10" s="78" t="s">
        <v>28</v>
      </c>
      <c r="K10" s="76">
        <v>100</v>
      </c>
      <c r="L10" s="76"/>
      <c r="M10" s="76"/>
    </row>
    <row r="11" spans="1:13" s="49" customFormat="1" ht="45.75">
      <c r="A11" s="76" t="s">
        <v>53</v>
      </c>
      <c r="B11" s="76" t="s">
        <v>54</v>
      </c>
      <c r="C11" s="76"/>
      <c r="D11" s="76" t="s">
        <v>55</v>
      </c>
      <c r="E11" s="76" t="s">
        <v>55</v>
      </c>
      <c r="F11" s="76" t="s">
        <v>50</v>
      </c>
      <c r="G11" s="77">
        <v>46058</v>
      </c>
      <c r="H11" s="77">
        <v>46059</v>
      </c>
      <c r="I11" s="77">
        <v>46059</v>
      </c>
      <c r="J11" s="78" t="s">
        <v>28</v>
      </c>
      <c r="K11" s="76">
        <v>100</v>
      </c>
      <c r="L11" s="76"/>
      <c r="M11" s="76"/>
    </row>
    <row r="12" spans="1:13" s="49" customFormat="1" ht="45.75">
      <c r="A12" s="76" t="s">
        <v>56</v>
      </c>
      <c r="B12" s="76" t="s">
        <v>54</v>
      </c>
      <c r="C12" s="76"/>
      <c r="D12" s="76" t="s">
        <v>55</v>
      </c>
      <c r="E12" s="76" t="s">
        <v>55</v>
      </c>
      <c r="F12" s="76" t="s">
        <v>50</v>
      </c>
      <c r="G12" s="77">
        <v>46059</v>
      </c>
      <c r="H12" s="77">
        <v>46060</v>
      </c>
      <c r="I12" s="77">
        <v>46060</v>
      </c>
      <c r="J12" s="78" t="s">
        <v>28</v>
      </c>
      <c r="K12" s="76">
        <v>100</v>
      </c>
      <c r="L12" s="76"/>
      <c r="M12" s="76"/>
    </row>
    <row r="13" spans="1:13" s="49" customFormat="1" ht="45.75">
      <c r="A13" s="76" t="s">
        <v>57</v>
      </c>
      <c r="B13" s="76" t="s">
        <v>58</v>
      </c>
      <c r="C13" s="76"/>
      <c r="D13" s="76" t="s">
        <v>59</v>
      </c>
      <c r="E13" s="76" t="s">
        <v>57</v>
      </c>
      <c r="F13" s="76" t="s">
        <v>50</v>
      </c>
      <c r="G13" s="77">
        <v>46056</v>
      </c>
      <c r="H13" s="77">
        <v>46059</v>
      </c>
      <c r="I13" s="77">
        <v>46059</v>
      </c>
      <c r="J13" s="78" t="s">
        <v>28</v>
      </c>
      <c r="K13" s="76">
        <v>100</v>
      </c>
      <c r="L13" s="76"/>
      <c r="M13" s="76"/>
    </row>
    <row r="14" spans="1:13" s="49" customFormat="1">
      <c r="A14" s="76" t="s">
        <v>60</v>
      </c>
      <c r="B14" s="76" t="s">
        <v>60</v>
      </c>
      <c r="C14" s="76"/>
      <c r="D14" s="76" t="s">
        <v>61</v>
      </c>
      <c r="E14" s="76" t="s">
        <v>62</v>
      </c>
      <c r="F14" s="76" t="s">
        <v>63</v>
      </c>
      <c r="G14" s="77">
        <v>46048</v>
      </c>
      <c r="H14" s="77">
        <v>46051</v>
      </c>
      <c r="I14" s="77">
        <v>46051</v>
      </c>
      <c r="J14" s="78" t="s">
        <v>28</v>
      </c>
      <c r="K14" s="76">
        <v>100</v>
      </c>
      <c r="L14" s="76"/>
      <c r="M14" s="76"/>
    </row>
    <row r="15" spans="1:13" s="49" customFormat="1">
      <c r="A15" s="76" t="s">
        <v>64</v>
      </c>
      <c r="B15" s="76" t="s">
        <v>65</v>
      </c>
      <c r="C15" s="76"/>
      <c r="D15" s="76" t="s">
        <v>66</v>
      </c>
      <c r="E15" s="76" t="s">
        <v>62</v>
      </c>
      <c r="F15" s="76" t="s">
        <v>63</v>
      </c>
      <c r="G15" s="77">
        <v>46059</v>
      </c>
      <c r="H15" s="77">
        <v>46062</v>
      </c>
      <c r="I15" s="77">
        <v>46062</v>
      </c>
      <c r="J15" s="78" t="s">
        <v>28</v>
      </c>
      <c r="K15" s="76">
        <v>100</v>
      </c>
      <c r="L15" s="76"/>
      <c r="M15" s="76"/>
    </row>
    <row r="16" spans="1:13" s="49" customFormat="1">
      <c r="A16" s="76" t="s">
        <v>67</v>
      </c>
      <c r="B16" s="76" t="s">
        <v>67</v>
      </c>
      <c r="C16" s="76"/>
      <c r="D16" s="76" t="s">
        <v>68</v>
      </c>
      <c r="E16" s="76" t="s">
        <v>68</v>
      </c>
      <c r="F16" s="76" t="s">
        <v>63</v>
      </c>
      <c r="G16" s="77">
        <v>46051</v>
      </c>
      <c r="H16" s="77">
        <v>46056</v>
      </c>
      <c r="I16" s="77">
        <v>46056</v>
      </c>
      <c r="J16" s="78" t="s">
        <v>28</v>
      </c>
      <c r="K16" s="76">
        <v>100</v>
      </c>
      <c r="L16" s="76"/>
      <c r="M16" s="76"/>
    </row>
    <row r="17" spans="1:13" s="49" customFormat="1">
      <c r="A17" s="76" t="s">
        <v>69</v>
      </c>
      <c r="B17" s="76" t="s">
        <v>70</v>
      </c>
      <c r="C17" s="76"/>
      <c r="D17" s="76" t="s">
        <v>59</v>
      </c>
      <c r="E17" s="76" t="s">
        <v>71</v>
      </c>
      <c r="F17" s="76" t="s">
        <v>37</v>
      </c>
      <c r="G17" s="77">
        <v>46052</v>
      </c>
      <c r="H17" s="77">
        <v>46055</v>
      </c>
      <c r="I17" s="77">
        <v>46052</v>
      </c>
      <c r="J17" s="78" t="s">
        <v>28</v>
      </c>
      <c r="K17" s="76">
        <v>100</v>
      </c>
      <c r="L17" s="76"/>
      <c r="M17" s="76"/>
    </row>
    <row r="18" spans="1:13" s="49" customFormat="1">
      <c r="A18" s="76" t="s">
        <v>72</v>
      </c>
      <c r="B18" s="76" t="s">
        <v>73</v>
      </c>
      <c r="C18" s="76"/>
      <c r="D18" s="76" t="s">
        <v>66</v>
      </c>
      <c r="E18" s="76" t="s">
        <v>74</v>
      </c>
      <c r="F18" s="76" t="s">
        <v>75</v>
      </c>
      <c r="G18" s="77">
        <v>46055</v>
      </c>
      <c r="H18" s="77">
        <v>46056</v>
      </c>
      <c r="I18" s="77">
        <v>46056</v>
      </c>
      <c r="J18" s="78" t="s">
        <v>28</v>
      </c>
      <c r="K18" s="76">
        <v>100</v>
      </c>
      <c r="L18" s="76"/>
      <c r="M18" s="76"/>
    </row>
    <row r="19" spans="1:13" s="49" customFormat="1">
      <c r="A19" s="76" t="s">
        <v>76</v>
      </c>
      <c r="B19" s="76" t="s">
        <v>77</v>
      </c>
      <c r="C19" s="76"/>
      <c r="D19" s="76" t="s">
        <v>66</v>
      </c>
      <c r="E19" s="76" t="s">
        <v>74</v>
      </c>
      <c r="F19" s="76" t="s">
        <v>78</v>
      </c>
      <c r="G19" s="77">
        <v>46058</v>
      </c>
      <c r="H19" s="77">
        <v>46063</v>
      </c>
      <c r="I19" s="77">
        <v>46062</v>
      </c>
      <c r="J19" s="78" t="s">
        <v>28</v>
      </c>
      <c r="K19" s="76">
        <v>100</v>
      </c>
      <c r="L19" s="76"/>
      <c r="M19" s="76"/>
    </row>
    <row r="20" spans="1:13" s="49" customFormat="1">
      <c r="A20" s="76" t="s">
        <v>79</v>
      </c>
      <c r="B20" s="76" t="s">
        <v>80</v>
      </c>
      <c r="C20" s="76"/>
      <c r="D20" s="76" t="s">
        <v>81</v>
      </c>
      <c r="E20" s="76" t="s">
        <v>82</v>
      </c>
      <c r="F20" s="76" t="s">
        <v>37</v>
      </c>
      <c r="G20" s="77">
        <v>46048</v>
      </c>
      <c r="H20" s="77">
        <v>46049</v>
      </c>
      <c r="I20" s="77">
        <v>46048</v>
      </c>
      <c r="J20" s="78" t="s">
        <v>28</v>
      </c>
      <c r="K20" s="76">
        <v>100</v>
      </c>
      <c r="L20" s="76"/>
      <c r="M20" s="76"/>
    </row>
    <row r="21" spans="1:13" s="49" customFormat="1">
      <c r="A21" s="76" t="s">
        <v>83</v>
      </c>
      <c r="B21" s="76" t="s">
        <v>84</v>
      </c>
      <c r="C21" s="76"/>
      <c r="D21" s="76" t="s">
        <v>81</v>
      </c>
      <c r="E21" s="76" t="s">
        <v>82</v>
      </c>
      <c r="F21" s="76" t="s">
        <v>34</v>
      </c>
      <c r="G21" s="77">
        <v>46062</v>
      </c>
      <c r="H21" s="77">
        <v>46064</v>
      </c>
      <c r="I21" s="77">
        <v>46063</v>
      </c>
      <c r="J21" s="78" t="s">
        <v>28</v>
      </c>
      <c r="K21" s="76">
        <v>100</v>
      </c>
      <c r="L21" s="76"/>
      <c r="M21" s="76"/>
    </row>
    <row r="22" spans="1:13" s="49" customFormat="1">
      <c r="A22" s="76" t="s">
        <v>85</v>
      </c>
      <c r="B22" s="76" t="s">
        <v>86</v>
      </c>
      <c r="C22" s="76"/>
      <c r="D22" s="76" t="s">
        <v>87</v>
      </c>
      <c r="E22" s="76" t="s">
        <v>82</v>
      </c>
      <c r="F22" s="76" t="s">
        <v>37</v>
      </c>
      <c r="G22" s="77"/>
      <c r="H22" s="77"/>
      <c r="I22" s="77"/>
      <c r="J22" s="78" t="s">
        <v>28</v>
      </c>
      <c r="K22" s="76">
        <v>100</v>
      </c>
      <c r="L22" s="76"/>
      <c r="M22" s="76"/>
    </row>
    <row r="23" spans="1:13" s="49" customFormat="1">
      <c r="A23" s="76" t="s">
        <v>88</v>
      </c>
      <c r="B23" s="50" t="s">
        <v>89</v>
      </c>
      <c r="C23" s="50"/>
      <c r="D23" s="76" t="s">
        <v>90</v>
      </c>
      <c r="E23" s="76" t="s">
        <v>74</v>
      </c>
      <c r="F23" s="76" t="s">
        <v>34</v>
      </c>
      <c r="G23" s="77">
        <v>46064</v>
      </c>
      <c r="H23" s="77">
        <v>46065</v>
      </c>
      <c r="I23" s="77">
        <v>46065</v>
      </c>
      <c r="J23" s="78" t="s">
        <v>28</v>
      </c>
      <c r="K23" s="76">
        <v>100</v>
      </c>
      <c r="L23" s="76"/>
      <c r="M23" s="76"/>
    </row>
    <row r="24" spans="1:13" s="49" customFormat="1">
      <c r="A24" s="76" t="s">
        <v>91</v>
      </c>
      <c r="B24" s="76" t="s">
        <v>92</v>
      </c>
      <c r="C24" s="76"/>
      <c r="D24" s="76" t="s">
        <v>66</v>
      </c>
      <c r="E24" s="76" t="s">
        <v>74</v>
      </c>
      <c r="F24" s="76" t="s">
        <v>37</v>
      </c>
      <c r="G24" s="77">
        <v>46064</v>
      </c>
      <c r="H24" s="77"/>
      <c r="I24" s="77"/>
      <c r="J24" s="78" t="s">
        <v>28</v>
      </c>
      <c r="K24" s="76">
        <v>100</v>
      </c>
      <c r="L24" s="76"/>
      <c r="M24" s="76"/>
    </row>
    <row r="25" spans="1:13" s="49" customFormat="1" ht="30.75">
      <c r="A25" s="76" t="s">
        <v>93</v>
      </c>
      <c r="B25" s="76" t="s">
        <v>94</v>
      </c>
      <c r="C25" s="76"/>
      <c r="D25" s="76" t="s">
        <v>61</v>
      </c>
      <c r="E25" s="76" t="s">
        <v>74</v>
      </c>
      <c r="F25" s="76" t="s">
        <v>95</v>
      </c>
      <c r="G25" s="77">
        <v>46065</v>
      </c>
      <c r="H25" s="77">
        <v>46066</v>
      </c>
      <c r="I25" s="77"/>
      <c r="J25" s="78" t="s">
        <v>28</v>
      </c>
      <c r="K25" s="76">
        <v>100</v>
      </c>
      <c r="L25" s="76"/>
      <c r="M25" s="76"/>
    </row>
    <row r="26" spans="1:13" s="49" customFormat="1">
      <c r="A26" s="78" t="s">
        <v>96</v>
      </c>
      <c r="B26" s="78" t="s">
        <v>97</v>
      </c>
      <c r="C26" s="78"/>
      <c r="D26" s="76" t="s">
        <v>61</v>
      </c>
      <c r="E26" s="76" t="s">
        <v>74</v>
      </c>
      <c r="F26" s="78" t="s">
        <v>98</v>
      </c>
      <c r="G26" s="79">
        <v>46065</v>
      </c>
      <c r="H26" s="79">
        <v>46066</v>
      </c>
      <c r="I26" s="79"/>
      <c r="J26" s="78" t="s">
        <v>28</v>
      </c>
      <c r="K26" s="76">
        <v>100</v>
      </c>
      <c r="L26" s="78"/>
      <c r="M26" s="78"/>
    </row>
    <row r="27" spans="1:13" s="49" customFormat="1">
      <c r="A27" s="78" t="s">
        <v>99</v>
      </c>
      <c r="B27" s="78" t="s">
        <v>100</v>
      </c>
      <c r="C27" s="78"/>
      <c r="D27" s="78" t="s">
        <v>90</v>
      </c>
      <c r="E27" s="76" t="s">
        <v>74</v>
      </c>
      <c r="F27" s="78" t="s">
        <v>101</v>
      </c>
      <c r="G27" s="79">
        <v>46065</v>
      </c>
      <c r="H27" s="79">
        <v>46066</v>
      </c>
      <c r="I27" s="79"/>
      <c r="J27" s="78" t="s">
        <v>28</v>
      </c>
      <c r="K27" s="76">
        <v>100</v>
      </c>
      <c r="L27" s="78"/>
      <c r="M27" s="78"/>
    </row>
    <row r="28" spans="1:13" s="49" customFormat="1">
      <c r="A28" s="78" t="s">
        <v>102</v>
      </c>
      <c r="B28" s="78"/>
      <c r="C28" s="78"/>
      <c r="D28" s="78" t="s">
        <v>90</v>
      </c>
      <c r="E28" s="76" t="s">
        <v>74</v>
      </c>
      <c r="F28" s="78" t="s">
        <v>101</v>
      </c>
      <c r="G28" s="79">
        <v>46065</v>
      </c>
      <c r="H28" s="79">
        <v>46065</v>
      </c>
      <c r="I28" s="79">
        <v>46066</v>
      </c>
      <c r="J28" s="78" t="s">
        <v>28</v>
      </c>
      <c r="K28" s="76">
        <v>100</v>
      </c>
      <c r="L28" s="78"/>
      <c r="M28" s="78"/>
    </row>
    <row r="29" spans="1:13" s="49" customFormat="1">
      <c r="A29" s="78" t="s">
        <v>103</v>
      </c>
      <c r="B29" s="78"/>
      <c r="C29" s="78"/>
      <c r="D29" s="78" t="s">
        <v>81</v>
      </c>
      <c r="E29" s="76" t="s">
        <v>74</v>
      </c>
      <c r="F29" s="78" t="s">
        <v>34</v>
      </c>
      <c r="G29" s="79">
        <v>46065</v>
      </c>
      <c r="H29" s="79">
        <v>46068</v>
      </c>
      <c r="I29" s="79">
        <v>46067</v>
      </c>
      <c r="J29" s="78" t="s">
        <v>28</v>
      </c>
      <c r="K29" s="76">
        <v>100</v>
      </c>
      <c r="L29" s="78"/>
      <c r="M29" s="78"/>
    </row>
    <row r="30" spans="1:13" s="49" customFormat="1">
      <c r="A30" s="78" t="s">
        <v>104</v>
      </c>
      <c r="B30" s="78" t="s">
        <v>105</v>
      </c>
      <c r="C30" s="78"/>
      <c r="D30" s="78" t="s">
        <v>61</v>
      </c>
      <c r="E30" s="76" t="s">
        <v>74</v>
      </c>
      <c r="F30" s="78" t="s">
        <v>27</v>
      </c>
      <c r="G30" s="79">
        <v>46065</v>
      </c>
      <c r="H30" s="79">
        <v>46068</v>
      </c>
      <c r="I30" s="79">
        <v>46066</v>
      </c>
      <c r="J30" s="78" t="s">
        <v>28</v>
      </c>
      <c r="K30" s="76">
        <v>100</v>
      </c>
      <c r="L30" s="78"/>
      <c r="M30" s="78"/>
    </row>
    <row r="31" spans="1:13" s="49" customFormat="1">
      <c r="A31" s="78" t="s">
        <v>106</v>
      </c>
      <c r="B31" s="78" t="s">
        <v>107</v>
      </c>
      <c r="C31" s="78"/>
      <c r="D31" s="78" t="s">
        <v>59</v>
      </c>
      <c r="E31" s="78" t="s">
        <v>57</v>
      </c>
      <c r="F31" s="78" t="s">
        <v>108</v>
      </c>
      <c r="G31" s="79">
        <v>46066</v>
      </c>
      <c r="H31" s="79">
        <v>46069</v>
      </c>
      <c r="I31" s="79">
        <v>46069</v>
      </c>
      <c r="J31" s="78" t="s">
        <v>28</v>
      </c>
      <c r="K31" s="76">
        <v>100</v>
      </c>
      <c r="L31" s="78"/>
      <c r="M31" s="78"/>
    </row>
    <row r="32" spans="1:13" s="49" customFormat="1">
      <c r="A32" s="78" t="s">
        <v>109</v>
      </c>
      <c r="B32" s="78" t="s">
        <v>110</v>
      </c>
      <c r="C32" s="78"/>
      <c r="D32" s="78" t="s">
        <v>66</v>
      </c>
      <c r="E32" s="78" t="s">
        <v>57</v>
      </c>
      <c r="F32" s="78" t="s">
        <v>63</v>
      </c>
      <c r="G32" s="79">
        <v>46066</v>
      </c>
      <c r="H32" s="79">
        <v>46069</v>
      </c>
      <c r="I32" s="79"/>
      <c r="J32" s="78" t="s">
        <v>28</v>
      </c>
      <c r="K32" s="76">
        <v>100</v>
      </c>
      <c r="L32" s="78"/>
      <c r="M32" s="78"/>
    </row>
    <row r="33" spans="1:11" s="49" customFormat="1" ht="30.75">
      <c r="A33" s="78" t="s">
        <v>111</v>
      </c>
      <c r="B33" s="80" t="s">
        <v>112</v>
      </c>
      <c r="C33" s="80"/>
      <c r="D33" s="78" t="s">
        <v>66</v>
      </c>
      <c r="E33" s="78" t="s">
        <v>113</v>
      </c>
      <c r="F33" s="78" t="s">
        <v>114</v>
      </c>
      <c r="G33" s="79">
        <v>46069</v>
      </c>
      <c r="H33" s="79">
        <v>46069</v>
      </c>
      <c r="I33" s="79">
        <v>46069</v>
      </c>
      <c r="J33" s="78" t="s">
        <v>28</v>
      </c>
      <c r="K33" s="76">
        <v>100</v>
      </c>
    </row>
    <row r="34" spans="1:11" s="49" customFormat="1">
      <c r="A34" s="78" t="s">
        <v>115</v>
      </c>
      <c r="B34" s="80" t="s">
        <v>116</v>
      </c>
      <c r="C34" s="80"/>
      <c r="D34" s="78" t="s">
        <v>117</v>
      </c>
      <c r="E34" s="78" t="s">
        <v>74</v>
      </c>
      <c r="F34" s="78" t="s">
        <v>118</v>
      </c>
      <c r="G34" s="79">
        <v>46070</v>
      </c>
      <c r="H34" s="79">
        <v>46073</v>
      </c>
      <c r="I34" s="79">
        <v>46072</v>
      </c>
      <c r="J34" s="78" t="s">
        <v>28</v>
      </c>
      <c r="K34" s="76">
        <v>100</v>
      </c>
    </row>
    <row r="35" spans="1:11" s="49" customFormat="1">
      <c r="A35" s="78" t="s">
        <v>119</v>
      </c>
      <c r="B35" s="78" t="s">
        <v>120</v>
      </c>
      <c r="C35" s="78"/>
      <c r="D35" s="78" t="s">
        <v>117</v>
      </c>
      <c r="E35" s="78" t="s">
        <v>74</v>
      </c>
      <c r="F35" s="78" t="s">
        <v>118</v>
      </c>
      <c r="G35" s="79">
        <v>46076</v>
      </c>
      <c r="H35" s="79">
        <v>46078</v>
      </c>
      <c r="I35" s="79"/>
      <c r="J35" s="78" t="s">
        <v>28</v>
      </c>
      <c r="K35" s="76">
        <v>100</v>
      </c>
    </row>
    <row r="36" spans="1:11" s="49" customFormat="1">
      <c r="A36" s="78" t="s">
        <v>121</v>
      </c>
      <c r="B36" s="78"/>
      <c r="C36" s="78"/>
      <c r="D36" s="78" t="s">
        <v>90</v>
      </c>
      <c r="E36" s="78" t="s">
        <v>74</v>
      </c>
      <c r="F36" s="78" t="s">
        <v>122</v>
      </c>
      <c r="G36" s="79">
        <v>46069</v>
      </c>
      <c r="H36" s="79">
        <v>46076</v>
      </c>
      <c r="I36" s="79">
        <v>46075</v>
      </c>
      <c r="J36" s="78" t="s">
        <v>28</v>
      </c>
      <c r="K36" s="76">
        <v>100</v>
      </c>
    </row>
    <row r="37" spans="1:11" s="49" customFormat="1">
      <c r="A37" s="78" t="s">
        <v>123</v>
      </c>
      <c r="B37" s="78"/>
      <c r="C37" s="78"/>
      <c r="D37" s="78" t="s">
        <v>90</v>
      </c>
      <c r="E37" s="78" t="s">
        <v>74</v>
      </c>
      <c r="F37" s="78" t="s">
        <v>122</v>
      </c>
      <c r="G37" s="79">
        <v>46069</v>
      </c>
      <c r="H37" s="79">
        <v>46076</v>
      </c>
      <c r="I37" s="79">
        <v>46076</v>
      </c>
      <c r="J37" s="78" t="s">
        <v>28</v>
      </c>
      <c r="K37" s="76">
        <v>100</v>
      </c>
    </row>
    <row r="38" spans="1:11" s="49" customFormat="1">
      <c r="A38" s="78" t="s">
        <v>124</v>
      </c>
      <c r="B38" s="78" t="s">
        <v>125</v>
      </c>
      <c r="C38" s="78"/>
      <c r="D38" s="78"/>
      <c r="E38" s="78"/>
      <c r="F38" s="78" t="s">
        <v>126</v>
      </c>
      <c r="G38" s="79">
        <v>46080</v>
      </c>
      <c r="H38" s="79">
        <v>46083</v>
      </c>
      <c r="I38" s="79">
        <v>46084</v>
      </c>
      <c r="J38" s="78" t="s">
        <v>28</v>
      </c>
      <c r="K38" s="78"/>
    </row>
    <row r="39" spans="1:11" s="49" customFormat="1">
      <c r="A39" s="78" t="s">
        <v>127</v>
      </c>
      <c r="B39" s="78" t="s">
        <v>128</v>
      </c>
      <c r="C39" s="78"/>
      <c r="D39" s="78"/>
      <c r="E39" s="78" t="s">
        <v>74</v>
      </c>
      <c r="F39" s="78" t="s">
        <v>98</v>
      </c>
      <c r="G39" s="79">
        <v>46080</v>
      </c>
      <c r="H39" s="79">
        <v>46083</v>
      </c>
      <c r="I39" s="79"/>
      <c r="J39" s="78" t="s">
        <v>28</v>
      </c>
      <c r="K39" s="78"/>
    </row>
    <row r="40" spans="1:11" s="49" customFormat="1">
      <c r="A40" s="78" t="s">
        <v>129</v>
      </c>
      <c r="B40" s="78" t="s">
        <v>130</v>
      </c>
      <c r="C40" s="78"/>
      <c r="D40" s="78"/>
      <c r="E40" s="78"/>
      <c r="F40" s="52" t="s">
        <v>114</v>
      </c>
      <c r="G40" s="79">
        <v>46108</v>
      </c>
      <c r="H40" s="79">
        <v>46108</v>
      </c>
      <c r="I40" s="79">
        <v>46108</v>
      </c>
      <c r="J40" s="78" t="s">
        <v>28</v>
      </c>
      <c r="K40" s="78">
        <v>100</v>
      </c>
    </row>
    <row r="41" spans="1:11" s="49" customFormat="1">
      <c r="A41" s="78" t="s">
        <v>131</v>
      </c>
      <c r="B41" s="78"/>
      <c r="C41" s="78"/>
      <c r="D41" s="78" t="s">
        <v>81</v>
      </c>
      <c r="E41" s="78" t="s">
        <v>74</v>
      </c>
      <c r="F41" s="52" t="s">
        <v>34</v>
      </c>
      <c r="G41" s="79">
        <v>46080</v>
      </c>
      <c r="H41" s="79">
        <v>46084</v>
      </c>
      <c r="I41" s="79">
        <v>46083</v>
      </c>
      <c r="J41" s="78" t="s">
        <v>28</v>
      </c>
      <c r="K41" s="78">
        <v>100</v>
      </c>
    </row>
    <row r="42" spans="1:11" s="49" customFormat="1">
      <c r="A42" s="78" t="s">
        <v>132</v>
      </c>
      <c r="B42" s="78" t="s">
        <v>128</v>
      </c>
      <c r="C42" s="78"/>
      <c r="D42" s="78"/>
      <c r="E42" s="78"/>
      <c r="F42" s="78" t="s">
        <v>37</v>
      </c>
      <c r="G42" s="79">
        <v>46090</v>
      </c>
      <c r="H42" s="79"/>
      <c r="I42" s="79">
        <v>46092</v>
      </c>
      <c r="J42" s="78" t="s">
        <v>28</v>
      </c>
      <c r="K42" s="78">
        <v>40</v>
      </c>
    </row>
    <row r="43" spans="1:11" s="49" customFormat="1">
      <c r="A43" s="78" t="s">
        <v>133</v>
      </c>
      <c r="B43" s="78" t="s">
        <v>134</v>
      </c>
      <c r="C43" s="78"/>
      <c r="D43" s="78" t="s">
        <v>135</v>
      </c>
      <c r="E43" s="78" t="s">
        <v>57</v>
      </c>
      <c r="F43" s="52" t="s">
        <v>101</v>
      </c>
      <c r="G43" s="79">
        <v>46079</v>
      </c>
      <c r="H43" s="79">
        <v>46084</v>
      </c>
      <c r="I43" s="79">
        <v>46084</v>
      </c>
      <c r="J43" s="78" t="s">
        <v>28</v>
      </c>
      <c r="K43" s="78">
        <v>100</v>
      </c>
    </row>
    <row r="44" spans="1:11" s="49" customFormat="1">
      <c r="A44" s="78" t="s">
        <v>136</v>
      </c>
      <c r="B44" s="78"/>
      <c r="C44" s="78"/>
      <c r="D44" s="78" t="s">
        <v>81</v>
      </c>
      <c r="E44" s="78"/>
      <c r="F44" s="78" t="s">
        <v>137</v>
      </c>
      <c r="G44" s="79">
        <v>46080</v>
      </c>
      <c r="H44" s="79">
        <v>46084</v>
      </c>
      <c r="I44" s="79"/>
      <c r="J44" s="78" t="s">
        <v>28</v>
      </c>
      <c r="K44" s="78">
        <v>100</v>
      </c>
    </row>
    <row r="45" spans="1:11" s="49" customFormat="1">
      <c r="A45" s="78" t="s">
        <v>138</v>
      </c>
      <c r="B45" s="31" t="s">
        <v>139</v>
      </c>
      <c r="C45" s="31"/>
      <c r="D45" s="78" t="s">
        <v>55</v>
      </c>
      <c r="E45" s="78" t="s">
        <v>74</v>
      </c>
      <c r="F45" s="78" t="s">
        <v>126</v>
      </c>
      <c r="G45" s="79">
        <v>46085</v>
      </c>
      <c r="H45" s="79">
        <v>46086</v>
      </c>
      <c r="I45" s="79">
        <v>46086</v>
      </c>
      <c r="J45" s="78" t="s">
        <v>28</v>
      </c>
      <c r="K45" s="78">
        <v>100</v>
      </c>
    </row>
    <row r="46" spans="1:11" s="49" customFormat="1">
      <c r="A46" s="78" t="s">
        <v>140</v>
      </c>
      <c r="B46" s="78" t="s">
        <v>141</v>
      </c>
      <c r="C46" s="78"/>
      <c r="D46" s="78" t="s">
        <v>81</v>
      </c>
      <c r="E46" s="78" t="s">
        <v>74</v>
      </c>
      <c r="F46" s="78" t="s">
        <v>75</v>
      </c>
      <c r="G46" s="79">
        <v>46085</v>
      </c>
      <c r="H46" s="79">
        <v>46087</v>
      </c>
      <c r="I46" s="79">
        <v>46087</v>
      </c>
      <c r="J46" s="78" t="s">
        <v>28</v>
      </c>
      <c r="K46" s="78">
        <v>100</v>
      </c>
    </row>
    <row r="47" spans="1:11" s="49" customFormat="1">
      <c r="A47" s="78" t="s">
        <v>142</v>
      </c>
      <c r="B47" s="78" t="s">
        <v>143</v>
      </c>
      <c r="C47" s="78"/>
      <c r="D47" s="78" t="s">
        <v>81</v>
      </c>
      <c r="E47" s="78" t="s">
        <v>74</v>
      </c>
      <c r="F47" s="78" t="s">
        <v>144</v>
      </c>
      <c r="G47" s="79">
        <v>46090</v>
      </c>
      <c r="H47" s="79">
        <v>46091</v>
      </c>
      <c r="I47" s="79"/>
      <c r="J47" s="78" t="s">
        <v>28</v>
      </c>
      <c r="K47" s="78"/>
    </row>
    <row r="48" spans="1:11" s="49" customFormat="1">
      <c r="A48" s="78" t="s">
        <v>145</v>
      </c>
      <c r="B48" s="78" t="s">
        <v>146</v>
      </c>
      <c r="C48" s="78"/>
      <c r="D48" s="78" t="s">
        <v>147</v>
      </c>
      <c r="E48" s="78"/>
      <c r="F48" s="78" t="s">
        <v>37</v>
      </c>
      <c r="G48" s="79">
        <v>46092</v>
      </c>
      <c r="H48" s="79">
        <v>46094</v>
      </c>
      <c r="I48" s="79">
        <v>46094</v>
      </c>
      <c r="J48" s="78" t="s">
        <v>28</v>
      </c>
      <c r="K48" s="78">
        <v>100</v>
      </c>
    </row>
    <row r="49" spans="1:11" s="49" customFormat="1">
      <c r="A49" s="78" t="s">
        <v>148</v>
      </c>
      <c r="B49" s="78"/>
      <c r="C49" s="78"/>
      <c r="D49" s="78" t="s">
        <v>81</v>
      </c>
      <c r="E49" s="78" t="s">
        <v>74</v>
      </c>
      <c r="F49" s="78" t="s">
        <v>75</v>
      </c>
      <c r="G49" s="79">
        <v>46090</v>
      </c>
      <c r="H49" s="79">
        <v>46092</v>
      </c>
      <c r="I49" s="79">
        <v>46091</v>
      </c>
      <c r="J49" s="78" t="s">
        <v>28</v>
      </c>
      <c r="K49" s="78">
        <v>100</v>
      </c>
    </row>
    <row r="50" spans="1:11" s="49" customFormat="1">
      <c r="A50" s="78" t="s">
        <v>149</v>
      </c>
      <c r="B50" s="78"/>
      <c r="C50" s="78"/>
      <c r="D50" s="78" t="s">
        <v>81</v>
      </c>
      <c r="E50" s="78" t="s">
        <v>74</v>
      </c>
      <c r="F50" s="78" t="s">
        <v>150</v>
      </c>
      <c r="G50" s="79">
        <v>46090</v>
      </c>
      <c r="H50" s="79">
        <v>46092</v>
      </c>
      <c r="I50" s="79">
        <v>46091</v>
      </c>
      <c r="J50" s="78" t="s">
        <v>28</v>
      </c>
      <c r="K50" s="78">
        <v>100</v>
      </c>
    </row>
    <row r="51" spans="1:11" s="49" customFormat="1">
      <c r="A51" s="78" t="s">
        <v>151</v>
      </c>
      <c r="B51" s="78"/>
      <c r="C51" s="78"/>
      <c r="D51" s="78" t="s">
        <v>81</v>
      </c>
      <c r="E51" s="78" t="s">
        <v>74</v>
      </c>
      <c r="F51" s="78" t="s">
        <v>150</v>
      </c>
      <c r="G51" s="79">
        <v>46090</v>
      </c>
      <c r="H51" s="79">
        <v>46092</v>
      </c>
      <c r="I51" s="79">
        <v>46093</v>
      </c>
      <c r="J51" s="78" t="s">
        <v>28</v>
      </c>
      <c r="K51" s="78">
        <v>100</v>
      </c>
    </row>
    <row r="52" spans="1:11" s="49" customFormat="1">
      <c r="A52" s="78" t="s">
        <v>152</v>
      </c>
      <c r="B52" s="78" t="s">
        <v>153</v>
      </c>
      <c r="C52" s="78"/>
      <c r="D52" s="78" t="s">
        <v>117</v>
      </c>
      <c r="E52" s="78" t="s">
        <v>74</v>
      </c>
      <c r="F52" s="78" t="s">
        <v>154</v>
      </c>
      <c r="G52" s="79">
        <v>46090</v>
      </c>
      <c r="H52" s="78"/>
      <c r="I52" s="79">
        <v>46091</v>
      </c>
      <c r="J52" s="78" t="s">
        <v>28</v>
      </c>
      <c r="K52" s="78">
        <v>100</v>
      </c>
    </row>
    <row r="53" spans="1:11" s="49" customFormat="1">
      <c r="A53" s="78" t="s">
        <v>155</v>
      </c>
      <c r="B53" s="78" t="s">
        <v>156</v>
      </c>
      <c r="C53" s="78"/>
      <c r="D53" s="78" t="s">
        <v>66</v>
      </c>
      <c r="E53" s="78" t="s">
        <v>57</v>
      </c>
      <c r="F53" s="78" t="s">
        <v>154</v>
      </c>
      <c r="G53" s="79">
        <v>46090</v>
      </c>
      <c r="H53" s="78"/>
      <c r="I53" s="79">
        <v>46091</v>
      </c>
      <c r="J53" s="78" t="s">
        <v>28</v>
      </c>
      <c r="K53" s="78">
        <v>100</v>
      </c>
    </row>
    <row r="54" spans="1:11" s="49" customFormat="1">
      <c r="A54" s="78" t="s">
        <v>157</v>
      </c>
      <c r="B54" s="78" t="s">
        <v>158</v>
      </c>
      <c r="C54" s="78"/>
      <c r="D54" s="78" t="s">
        <v>59</v>
      </c>
      <c r="E54" s="78" t="s">
        <v>74</v>
      </c>
      <c r="F54" s="78" t="s">
        <v>154</v>
      </c>
      <c r="G54" s="79">
        <v>46090</v>
      </c>
      <c r="H54" s="78"/>
      <c r="I54" s="79">
        <v>46092</v>
      </c>
      <c r="J54" s="78" t="s">
        <v>28</v>
      </c>
      <c r="K54" s="78">
        <v>100</v>
      </c>
    </row>
    <row r="55" spans="1:11" s="49" customFormat="1">
      <c r="A55" s="78" t="s">
        <v>159</v>
      </c>
      <c r="B55" s="78" t="s">
        <v>160</v>
      </c>
      <c r="C55" s="78"/>
      <c r="D55" s="78" t="s">
        <v>66</v>
      </c>
      <c r="E55" s="78" t="s">
        <v>74</v>
      </c>
      <c r="F55" s="78" t="s">
        <v>154</v>
      </c>
      <c r="G55" s="79">
        <v>46090</v>
      </c>
      <c r="H55" s="78"/>
      <c r="I55" s="79">
        <v>46092</v>
      </c>
      <c r="J55" s="78" t="s">
        <v>28</v>
      </c>
      <c r="K55" s="78">
        <v>100</v>
      </c>
    </row>
    <row r="56" spans="1:11" s="49" customFormat="1">
      <c r="A56" s="78" t="s">
        <v>161</v>
      </c>
      <c r="B56" s="78" t="s">
        <v>162</v>
      </c>
      <c r="C56" s="78"/>
      <c r="D56" s="78" t="s">
        <v>163</v>
      </c>
      <c r="E56" s="78" t="s">
        <v>71</v>
      </c>
      <c r="F56" s="78" t="s">
        <v>154</v>
      </c>
      <c r="G56" s="79">
        <v>46087</v>
      </c>
      <c r="H56" s="78"/>
      <c r="I56" s="79">
        <v>46090</v>
      </c>
      <c r="J56" s="78" t="s">
        <v>28</v>
      </c>
      <c r="K56" s="78">
        <v>100</v>
      </c>
    </row>
    <row r="57" spans="1:11" s="49" customFormat="1">
      <c r="A57" s="78" t="s">
        <v>164</v>
      </c>
      <c r="B57" s="78" t="s">
        <v>165</v>
      </c>
      <c r="C57" s="78"/>
      <c r="D57" s="78" t="s">
        <v>166</v>
      </c>
      <c r="E57" s="78" t="s">
        <v>57</v>
      </c>
      <c r="F57" s="78" t="s">
        <v>154</v>
      </c>
      <c r="G57" s="79">
        <v>46078</v>
      </c>
      <c r="H57" s="79"/>
      <c r="I57" s="79">
        <v>46081</v>
      </c>
      <c r="J57" s="78" t="s">
        <v>28</v>
      </c>
      <c r="K57" s="78">
        <v>100</v>
      </c>
    </row>
    <row r="58" spans="1:11" s="49" customFormat="1">
      <c r="A58" s="78" t="s">
        <v>167</v>
      </c>
      <c r="B58" s="81"/>
      <c r="C58" s="78"/>
      <c r="D58" s="78" t="s">
        <v>59</v>
      </c>
      <c r="E58" s="78" t="s">
        <v>74</v>
      </c>
      <c r="F58" s="78" t="s">
        <v>34</v>
      </c>
      <c r="G58" s="79">
        <v>46083</v>
      </c>
      <c r="H58" s="79">
        <v>46087</v>
      </c>
      <c r="I58" s="79">
        <v>46085</v>
      </c>
      <c r="J58" s="78" t="s">
        <v>28</v>
      </c>
      <c r="K58" s="78">
        <v>100</v>
      </c>
    </row>
    <row r="59" spans="1:11" s="49" customFormat="1">
      <c r="A59" s="80" t="s">
        <v>168</v>
      </c>
      <c r="B59" s="53" t="s">
        <v>169</v>
      </c>
      <c r="C59" s="78"/>
      <c r="D59" s="78" t="s">
        <v>66</v>
      </c>
      <c r="E59" s="78" t="s">
        <v>170</v>
      </c>
      <c r="F59" s="78" t="s">
        <v>171</v>
      </c>
      <c r="G59" s="79">
        <v>46090</v>
      </c>
      <c r="H59" s="79">
        <v>46092</v>
      </c>
      <c r="I59" s="79">
        <v>46091</v>
      </c>
      <c r="J59" s="78" t="s">
        <v>28</v>
      </c>
      <c r="K59" s="78">
        <v>100</v>
      </c>
    </row>
    <row r="60" spans="1:11" s="49" customFormat="1">
      <c r="A60" s="78" t="s">
        <v>172</v>
      </c>
      <c r="B60" s="54" t="s">
        <v>173</v>
      </c>
      <c r="C60" s="78"/>
      <c r="D60" s="78" t="s">
        <v>66</v>
      </c>
      <c r="E60" s="78" t="s">
        <v>174</v>
      </c>
      <c r="F60" s="78" t="s">
        <v>101</v>
      </c>
      <c r="G60" s="79">
        <v>46087</v>
      </c>
      <c r="H60" s="79">
        <v>46091</v>
      </c>
      <c r="I60" s="79"/>
      <c r="J60" s="78" t="s">
        <v>28</v>
      </c>
      <c r="K60" s="78"/>
    </row>
    <row r="61" spans="1:11" s="49" customFormat="1">
      <c r="A61" s="78" t="s">
        <v>175</v>
      </c>
      <c r="B61" s="82" t="s">
        <v>176</v>
      </c>
      <c r="C61" s="78"/>
      <c r="D61" s="78" t="s">
        <v>66</v>
      </c>
      <c r="E61" s="78" t="s">
        <v>174</v>
      </c>
      <c r="F61" s="78" t="s">
        <v>101</v>
      </c>
      <c r="G61" s="79">
        <v>46087</v>
      </c>
      <c r="H61" s="79">
        <v>46091</v>
      </c>
      <c r="I61" s="79"/>
      <c r="J61" s="78" t="s">
        <v>28</v>
      </c>
      <c r="K61" s="78"/>
    </row>
    <row r="62" spans="1:11" s="49" customFormat="1">
      <c r="A62" s="78" t="s">
        <v>177</v>
      </c>
      <c r="B62" s="78" t="s">
        <v>178</v>
      </c>
      <c r="C62" s="78"/>
      <c r="D62" s="78" t="s">
        <v>66</v>
      </c>
      <c r="E62" s="78" t="s">
        <v>174</v>
      </c>
      <c r="F62" s="78" t="s">
        <v>101</v>
      </c>
      <c r="G62" s="79">
        <v>46087</v>
      </c>
      <c r="H62" s="79">
        <v>46091</v>
      </c>
      <c r="I62" s="79"/>
      <c r="J62" s="78" t="s">
        <v>28</v>
      </c>
      <c r="K62" s="78"/>
    </row>
    <row r="63" spans="1:11" s="49" customFormat="1">
      <c r="A63" s="78" t="s">
        <v>179</v>
      </c>
      <c r="B63" s="78"/>
      <c r="C63" s="78"/>
      <c r="D63" s="78" t="s">
        <v>66</v>
      </c>
      <c r="E63" s="78" t="s">
        <v>180</v>
      </c>
      <c r="F63" s="78" t="s">
        <v>181</v>
      </c>
      <c r="G63" s="79">
        <v>46091</v>
      </c>
      <c r="H63" s="79">
        <v>46101</v>
      </c>
      <c r="I63" s="79">
        <v>46100</v>
      </c>
      <c r="J63" s="78" t="s">
        <v>28</v>
      </c>
      <c r="K63" s="78">
        <v>100</v>
      </c>
    </row>
    <row r="64" spans="1:11" s="49" customFormat="1">
      <c r="A64" s="78" t="s">
        <v>182</v>
      </c>
      <c r="B64" s="78"/>
      <c r="C64" s="78"/>
      <c r="D64" s="78" t="s">
        <v>66</v>
      </c>
      <c r="E64" s="78" t="s">
        <v>180</v>
      </c>
      <c r="F64" s="78" t="s">
        <v>181</v>
      </c>
      <c r="G64" s="79">
        <v>46091</v>
      </c>
      <c r="H64" s="79">
        <v>46101</v>
      </c>
      <c r="I64" s="79">
        <v>46100</v>
      </c>
      <c r="J64" s="78" t="s">
        <v>28</v>
      </c>
      <c r="K64" s="78">
        <v>100</v>
      </c>
    </row>
    <row r="65" spans="1:11" s="49" customFormat="1">
      <c r="A65" s="78" t="s">
        <v>183</v>
      </c>
      <c r="B65" s="78"/>
      <c r="C65" s="78"/>
      <c r="D65" s="78" t="s">
        <v>59</v>
      </c>
      <c r="E65" s="78" t="s">
        <v>180</v>
      </c>
      <c r="F65" s="78" t="s">
        <v>34</v>
      </c>
      <c r="G65" s="79">
        <v>46091</v>
      </c>
      <c r="H65" s="79">
        <v>46101</v>
      </c>
      <c r="I65" s="79">
        <v>46100</v>
      </c>
      <c r="J65" s="78" t="s">
        <v>28</v>
      </c>
      <c r="K65" s="78">
        <v>100</v>
      </c>
    </row>
    <row r="66" spans="1:11" s="49" customFormat="1">
      <c r="A66" s="78" t="s">
        <v>184</v>
      </c>
      <c r="B66" s="78" t="s">
        <v>185</v>
      </c>
      <c r="C66" s="78"/>
      <c r="D66" s="78" t="s">
        <v>66</v>
      </c>
      <c r="E66" s="78" t="s">
        <v>186</v>
      </c>
      <c r="F66" s="78" t="s">
        <v>171</v>
      </c>
      <c r="G66" s="79">
        <v>46093</v>
      </c>
      <c r="H66" s="79">
        <v>46099</v>
      </c>
      <c r="I66" s="79">
        <v>46097</v>
      </c>
      <c r="J66" s="78" t="s">
        <v>28</v>
      </c>
      <c r="K66" s="78"/>
    </row>
    <row r="67" spans="1:11" s="49" customFormat="1">
      <c r="A67" s="78" t="s">
        <v>187</v>
      </c>
      <c r="B67" s="78" t="s">
        <v>188</v>
      </c>
      <c r="C67" s="78"/>
      <c r="D67" s="78" t="s">
        <v>66</v>
      </c>
      <c r="E67" s="81" t="s">
        <v>189</v>
      </c>
      <c r="F67" s="78" t="s">
        <v>171</v>
      </c>
      <c r="G67" s="79">
        <v>46090</v>
      </c>
      <c r="H67" s="79">
        <v>46095</v>
      </c>
      <c r="I67" s="79">
        <v>46092</v>
      </c>
      <c r="J67" s="78" t="s">
        <v>28</v>
      </c>
      <c r="K67" s="78"/>
    </row>
    <row r="68" spans="1:11" s="49" customFormat="1">
      <c r="A68" s="78" t="s">
        <v>190</v>
      </c>
      <c r="B68" s="78" t="s">
        <v>191</v>
      </c>
      <c r="C68" s="78"/>
      <c r="D68" s="78" t="s">
        <v>66</v>
      </c>
      <c r="E68" s="78" t="s">
        <v>192</v>
      </c>
      <c r="F68" s="78" t="s">
        <v>171</v>
      </c>
      <c r="G68" s="79">
        <v>46097</v>
      </c>
      <c r="H68" s="79">
        <v>46101</v>
      </c>
      <c r="I68" s="79">
        <v>46099</v>
      </c>
      <c r="J68" s="78" t="s">
        <v>28</v>
      </c>
      <c r="K68" s="78"/>
    </row>
    <row r="69" spans="1:11" s="49" customFormat="1">
      <c r="A69" s="78" t="s">
        <v>193</v>
      </c>
      <c r="B69" s="78" t="s">
        <v>194</v>
      </c>
      <c r="C69" s="78"/>
      <c r="D69" s="78" t="s">
        <v>66</v>
      </c>
      <c r="E69" s="78" t="s">
        <v>192</v>
      </c>
      <c r="F69" s="78" t="s">
        <v>171</v>
      </c>
      <c r="G69" s="79">
        <v>46097</v>
      </c>
      <c r="H69" s="79">
        <v>46101</v>
      </c>
      <c r="I69" s="79">
        <v>46101</v>
      </c>
      <c r="J69" s="78" t="s">
        <v>195</v>
      </c>
      <c r="K69" s="78"/>
    </row>
    <row r="70" spans="1:11" s="49" customFormat="1" ht="30.75">
      <c r="A70" s="81" t="s">
        <v>196</v>
      </c>
      <c r="B70" s="80" t="s">
        <v>197</v>
      </c>
      <c r="C70" s="78"/>
      <c r="D70" s="78" t="s">
        <v>66</v>
      </c>
      <c r="E70" s="78" t="s">
        <v>192</v>
      </c>
      <c r="F70" s="78" t="s">
        <v>171</v>
      </c>
      <c r="G70" s="79">
        <v>46099</v>
      </c>
      <c r="H70" s="79">
        <v>46106</v>
      </c>
      <c r="I70" s="79">
        <v>46104</v>
      </c>
      <c r="J70" s="78" t="s">
        <v>28</v>
      </c>
      <c r="K70" s="78"/>
    </row>
    <row r="71" spans="1:11" s="49" customFormat="1">
      <c r="A71" s="78" t="s">
        <v>198</v>
      </c>
      <c r="B71" s="78" t="s">
        <v>199</v>
      </c>
      <c r="C71" s="78"/>
      <c r="D71" s="78" t="s">
        <v>66</v>
      </c>
      <c r="E71" s="78" t="s">
        <v>200</v>
      </c>
      <c r="F71" s="78" t="s">
        <v>171</v>
      </c>
      <c r="G71" s="79">
        <v>46100</v>
      </c>
      <c r="H71" s="79">
        <v>46106</v>
      </c>
      <c r="I71" s="79">
        <v>46105</v>
      </c>
      <c r="J71" s="78" t="s">
        <v>28</v>
      </c>
      <c r="K71" s="78"/>
    </row>
    <row r="72" spans="1:11" s="49" customFormat="1">
      <c r="A72" s="78" t="s">
        <v>201</v>
      </c>
      <c r="B72" s="78" t="s">
        <v>202</v>
      </c>
      <c r="C72" s="78"/>
      <c r="D72" s="78" t="s">
        <v>66</v>
      </c>
      <c r="E72" s="78" t="s">
        <v>200</v>
      </c>
      <c r="F72" s="78" t="s">
        <v>171</v>
      </c>
      <c r="G72" s="79">
        <v>46098</v>
      </c>
      <c r="H72" s="79">
        <v>46106</v>
      </c>
      <c r="I72" s="79">
        <v>46101</v>
      </c>
      <c r="J72" s="78" t="s">
        <v>28</v>
      </c>
      <c r="K72" s="78"/>
    </row>
    <row r="73" spans="1:11" s="49" customFormat="1">
      <c r="A73" s="78" t="s">
        <v>203</v>
      </c>
      <c r="B73" s="78" t="s">
        <v>204</v>
      </c>
      <c r="C73" s="78"/>
      <c r="D73" s="78" t="s">
        <v>66</v>
      </c>
      <c r="E73" s="78" t="s">
        <v>200</v>
      </c>
      <c r="F73" s="78" t="s">
        <v>171</v>
      </c>
      <c r="G73" s="79">
        <v>46098</v>
      </c>
      <c r="H73" s="79">
        <v>46106</v>
      </c>
      <c r="I73" s="79">
        <v>46101</v>
      </c>
      <c r="J73" s="78" t="s">
        <v>28</v>
      </c>
      <c r="K73" s="78"/>
    </row>
    <row r="74" spans="1:11" s="49" customFormat="1">
      <c r="A74" s="78" t="s">
        <v>205</v>
      </c>
      <c r="B74" s="78" t="s">
        <v>206</v>
      </c>
      <c r="C74" s="78"/>
      <c r="D74" s="78" t="s">
        <v>61</v>
      </c>
      <c r="E74" s="78" t="s">
        <v>192</v>
      </c>
      <c r="F74" s="78" t="s">
        <v>171</v>
      </c>
      <c r="G74" s="79">
        <v>46101</v>
      </c>
      <c r="H74" s="79">
        <v>46108</v>
      </c>
      <c r="I74" s="79">
        <v>46105</v>
      </c>
      <c r="J74" s="78" t="s">
        <v>28</v>
      </c>
      <c r="K74" s="78"/>
    </row>
    <row r="75" spans="1:11" s="49" customFormat="1">
      <c r="A75" s="78" t="s">
        <v>207</v>
      </c>
      <c r="B75" s="78" t="s">
        <v>208</v>
      </c>
      <c r="C75" s="78"/>
      <c r="D75" s="78" t="s">
        <v>66</v>
      </c>
      <c r="E75" s="78" t="s">
        <v>192</v>
      </c>
      <c r="F75" s="78" t="s">
        <v>171</v>
      </c>
      <c r="G75" s="79">
        <v>46100</v>
      </c>
      <c r="H75" s="79">
        <v>46106</v>
      </c>
      <c r="I75" s="79">
        <v>46106</v>
      </c>
      <c r="J75" s="78" t="s">
        <v>28</v>
      </c>
      <c r="K75" s="78"/>
    </row>
    <row r="76" spans="1:11" s="49" customFormat="1">
      <c r="A76" s="78" t="s">
        <v>209</v>
      </c>
      <c r="B76" s="78" t="s">
        <v>210</v>
      </c>
      <c r="C76" s="78"/>
      <c r="D76" s="78" t="s">
        <v>66</v>
      </c>
      <c r="E76" s="78" t="s">
        <v>192</v>
      </c>
      <c r="F76" s="78" t="s">
        <v>171</v>
      </c>
      <c r="G76" s="79">
        <v>46099</v>
      </c>
      <c r="H76" s="79">
        <v>46106</v>
      </c>
      <c r="I76" s="79">
        <v>46106</v>
      </c>
      <c r="J76" s="78" t="s">
        <v>28</v>
      </c>
      <c r="K76" s="78"/>
    </row>
    <row r="77" spans="1:11" s="49" customFormat="1">
      <c r="A77" s="78" t="s">
        <v>211</v>
      </c>
      <c r="B77" s="78" t="s">
        <v>212</v>
      </c>
      <c r="C77" s="78"/>
      <c r="D77" s="78" t="s">
        <v>117</v>
      </c>
      <c r="E77" s="78" t="s">
        <v>74</v>
      </c>
      <c r="F77" s="78" t="s">
        <v>75</v>
      </c>
      <c r="G77" s="79">
        <v>46091</v>
      </c>
      <c r="H77" s="79">
        <v>46093</v>
      </c>
      <c r="I77" s="79">
        <v>46093</v>
      </c>
      <c r="J77" s="78" t="s">
        <v>28</v>
      </c>
      <c r="K77" s="78">
        <v>100</v>
      </c>
    </row>
    <row r="78" spans="1:11" s="49" customFormat="1">
      <c r="A78" s="78" t="s">
        <v>213</v>
      </c>
      <c r="B78" s="78"/>
      <c r="C78" s="78"/>
      <c r="D78" s="78" t="s">
        <v>66</v>
      </c>
      <c r="E78" s="78"/>
      <c r="F78" s="78" t="s">
        <v>75</v>
      </c>
      <c r="G78" s="79">
        <v>46094</v>
      </c>
      <c r="H78" s="79">
        <v>46097</v>
      </c>
      <c r="I78" s="79">
        <v>46094</v>
      </c>
      <c r="J78" s="78" t="s">
        <v>28</v>
      </c>
      <c r="K78" s="78">
        <v>100</v>
      </c>
    </row>
    <row r="79" spans="1:11" s="49" customFormat="1">
      <c r="A79" s="78" t="s">
        <v>214</v>
      </c>
      <c r="B79" s="78" t="s">
        <v>215</v>
      </c>
      <c r="C79" s="78"/>
      <c r="D79" s="78" t="s">
        <v>81</v>
      </c>
      <c r="E79" s="78"/>
      <c r="F79" s="78" t="s">
        <v>216</v>
      </c>
      <c r="G79" s="79">
        <v>46092</v>
      </c>
      <c r="H79" s="79">
        <v>46093</v>
      </c>
      <c r="I79" s="79">
        <v>46093</v>
      </c>
      <c r="J79" s="78" t="s">
        <v>28</v>
      </c>
      <c r="K79" s="78">
        <v>100</v>
      </c>
    </row>
    <row r="80" spans="1:11" s="49" customFormat="1" ht="32.25">
      <c r="A80" s="78" t="s">
        <v>217</v>
      </c>
      <c r="B80" s="80" t="s">
        <v>218</v>
      </c>
      <c r="C80" s="78"/>
      <c r="D80" s="78" t="s">
        <v>81</v>
      </c>
      <c r="E80" s="78"/>
      <c r="F80" s="78" t="s">
        <v>216</v>
      </c>
      <c r="G80" s="79">
        <v>46093</v>
      </c>
      <c r="H80" s="79">
        <v>46094</v>
      </c>
      <c r="I80" s="79">
        <v>46094</v>
      </c>
      <c r="J80" s="78" t="s">
        <v>28</v>
      </c>
      <c r="K80" s="78">
        <v>100</v>
      </c>
    </row>
    <row r="81" spans="1:11" s="49" customFormat="1" ht="30.75">
      <c r="A81" s="78" t="s">
        <v>219</v>
      </c>
      <c r="B81" s="80" t="s">
        <v>220</v>
      </c>
      <c r="C81" s="78"/>
      <c r="D81" s="78" t="s">
        <v>66</v>
      </c>
      <c r="E81" s="78"/>
      <c r="F81" s="78" t="s">
        <v>114</v>
      </c>
      <c r="G81" s="79">
        <v>46097</v>
      </c>
      <c r="H81" s="79">
        <v>46099</v>
      </c>
      <c r="I81" s="79">
        <v>46098</v>
      </c>
      <c r="J81" s="78" t="s">
        <v>28</v>
      </c>
      <c r="K81" s="78">
        <v>100</v>
      </c>
    </row>
    <row r="82" spans="1:11" s="49" customFormat="1">
      <c r="A82" s="78" t="s">
        <v>221</v>
      </c>
      <c r="B82" s="78"/>
      <c r="C82" s="78"/>
      <c r="D82" s="78" t="s">
        <v>66</v>
      </c>
      <c r="E82" s="78"/>
      <c r="F82" s="78" t="s">
        <v>114</v>
      </c>
      <c r="G82" s="79">
        <v>46098</v>
      </c>
      <c r="H82" s="79">
        <v>46099</v>
      </c>
      <c r="I82" s="79">
        <v>46099</v>
      </c>
      <c r="J82" s="78" t="s">
        <v>28</v>
      </c>
      <c r="K82" s="78">
        <v>100</v>
      </c>
    </row>
    <row r="83" spans="1:11" s="49" customFormat="1">
      <c r="A83" s="78" t="s">
        <v>222</v>
      </c>
      <c r="B83" s="78" t="s">
        <v>223</v>
      </c>
      <c r="C83" s="78"/>
      <c r="D83" s="78" t="s">
        <v>66</v>
      </c>
      <c r="E83" s="78"/>
      <c r="F83" s="78" t="s">
        <v>101</v>
      </c>
      <c r="G83" s="79">
        <v>46092</v>
      </c>
      <c r="H83" s="79">
        <v>46094</v>
      </c>
      <c r="I83" s="79">
        <v>46094</v>
      </c>
      <c r="J83" s="78" t="s">
        <v>28</v>
      </c>
      <c r="K83" s="78">
        <v>100</v>
      </c>
    </row>
    <row r="84" spans="1:11" s="49" customFormat="1">
      <c r="A84" s="78" t="s">
        <v>224</v>
      </c>
      <c r="B84" s="78" t="s">
        <v>225</v>
      </c>
      <c r="C84" s="78"/>
      <c r="D84" s="78" t="s">
        <v>66</v>
      </c>
      <c r="E84" s="78"/>
      <c r="F84" s="53" t="s">
        <v>101</v>
      </c>
      <c r="G84" s="79">
        <v>46092</v>
      </c>
      <c r="H84" s="79">
        <v>46094</v>
      </c>
      <c r="I84" s="79">
        <v>46094</v>
      </c>
      <c r="J84" s="78" t="s">
        <v>28</v>
      </c>
      <c r="K84" s="78">
        <v>100</v>
      </c>
    </row>
    <row r="85" spans="1:11" s="49" customFormat="1">
      <c r="A85" s="78" t="s">
        <v>226</v>
      </c>
      <c r="B85" s="78" t="s">
        <v>227</v>
      </c>
      <c r="C85" s="78"/>
      <c r="D85" s="78" t="s">
        <v>66</v>
      </c>
      <c r="E85" s="78"/>
      <c r="F85" s="54" t="s">
        <v>101</v>
      </c>
      <c r="G85" s="79">
        <v>46092</v>
      </c>
      <c r="H85" s="79">
        <v>46094</v>
      </c>
      <c r="I85" s="79">
        <v>46094</v>
      </c>
      <c r="J85" s="78" t="s">
        <v>28</v>
      </c>
      <c r="K85" s="78">
        <v>100</v>
      </c>
    </row>
    <row r="86" spans="1:11" s="49" customFormat="1">
      <c r="A86" s="78" t="s">
        <v>228</v>
      </c>
      <c r="B86" s="78" t="s">
        <v>229</v>
      </c>
      <c r="C86" s="78"/>
      <c r="D86" s="78" t="s">
        <v>66</v>
      </c>
      <c r="E86" s="78"/>
      <c r="F86" s="55" t="s">
        <v>101</v>
      </c>
      <c r="G86" s="79">
        <v>46097</v>
      </c>
      <c r="H86" s="79">
        <v>46098</v>
      </c>
      <c r="I86" s="79">
        <v>46098</v>
      </c>
      <c r="J86" s="78" t="s">
        <v>28</v>
      </c>
      <c r="K86" s="78">
        <v>100</v>
      </c>
    </row>
    <row r="87" spans="1:11" s="49" customFormat="1">
      <c r="A87" s="78" t="s">
        <v>230</v>
      </c>
      <c r="B87" s="78" t="s">
        <v>231</v>
      </c>
      <c r="C87" s="78"/>
      <c r="D87" s="78" t="s">
        <v>66</v>
      </c>
      <c r="E87" s="78"/>
      <c r="F87" s="55" t="s">
        <v>101</v>
      </c>
      <c r="G87" s="79">
        <v>46097</v>
      </c>
      <c r="H87" s="79">
        <v>46098</v>
      </c>
      <c r="I87" s="79">
        <v>46098</v>
      </c>
      <c r="J87" s="78" t="s">
        <v>28</v>
      </c>
      <c r="K87" s="78">
        <v>100</v>
      </c>
    </row>
    <row r="88" spans="1:11" s="49" customFormat="1">
      <c r="A88" s="78" t="s">
        <v>232</v>
      </c>
      <c r="B88" s="78" t="s">
        <v>233</v>
      </c>
      <c r="C88" s="78"/>
      <c r="D88" s="78" t="s">
        <v>55</v>
      </c>
      <c r="E88" s="78"/>
      <c r="F88" s="81" t="s">
        <v>37</v>
      </c>
      <c r="G88" s="79">
        <v>46090</v>
      </c>
      <c r="H88" s="79"/>
      <c r="I88" s="79">
        <v>46092</v>
      </c>
      <c r="J88" s="78" t="s">
        <v>28</v>
      </c>
      <c r="K88" s="78"/>
    </row>
    <row r="89" spans="1:11" s="49" customFormat="1" ht="30.75">
      <c r="A89" s="78" t="s">
        <v>234</v>
      </c>
      <c r="B89" s="80" t="s">
        <v>235</v>
      </c>
      <c r="C89" s="78"/>
      <c r="D89" s="78" t="s">
        <v>59</v>
      </c>
      <c r="E89" s="78" t="s">
        <v>236</v>
      </c>
      <c r="F89" s="78" t="s">
        <v>216</v>
      </c>
      <c r="G89" s="79">
        <v>46098</v>
      </c>
      <c r="H89" s="79">
        <v>46100</v>
      </c>
      <c r="I89" s="79">
        <v>46100</v>
      </c>
      <c r="J89" s="78" t="s">
        <v>28</v>
      </c>
      <c r="K89" s="78">
        <v>100</v>
      </c>
    </row>
    <row r="90" spans="1:11" s="49" customFormat="1" ht="32.25">
      <c r="A90" s="80" t="s">
        <v>237</v>
      </c>
      <c r="B90" s="80" t="s">
        <v>238</v>
      </c>
      <c r="C90" s="78"/>
      <c r="D90" s="78" t="s">
        <v>59</v>
      </c>
      <c r="E90" s="78" t="s">
        <v>200</v>
      </c>
      <c r="F90" s="78" t="s">
        <v>216</v>
      </c>
      <c r="G90" s="79">
        <v>46099</v>
      </c>
      <c r="H90" s="79">
        <v>46101</v>
      </c>
      <c r="I90" s="79">
        <v>46101</v>
      </c>
      <c r="J90" s="78" t="s">
        <v>28</v>
      </c>
      <c r="K90" s="78">
        <v>100</v>
      </c>
    </row>
    <row r="91" spans="1:11" s="49" customFormat="1">
      <c r="A91" s="78" t="s">
        <v>239</v>
      </c>
      <c r="B91" s="78" t="s">
        <v>240</v>
      </c>
      <c r="C91" s="78"/>
      <c r="D91" s="78" t="s">
        <v>59</v>
      </c>
      <c r="E91" s="78" t="s">
        <v>74</v>
      </c>
      <c r="F91" s="78" t="s">
        <v>75</v>
      </c>
      <c r="G91" s="79">
        <v>46100</v>
      </c>
      <c r="H91" s="79">
        <v>46101</v>
      </c>
      <c r="I91" s="79">
        <v>46101</v>
      </c>
      <c r="J91" s="78" t="s">
        <v>28</v>
      </c>
      <c r="K91" s="78">
        <v>100</v>
      </c>
    </row>
    <row r="92" spans="1:11" s="51" customFormat="1">
      <c r="A92" s="80" t="s">
        <v>241</v>
      </c>
      <c r="B92" s="80" t="s">
        <v>242</v>
      </c>
      <c r="C92" s="80"/>
      <c r="D92" s="80" t="s">
        <v>66</v>
      </c>
      <c r="E92" s="80" t="s">
        <v>74</v>
      </c>
      <c r="F92" s="80" t="s">
        <v>75</v>
      </c>
      <c r="G92" s="83">
        <v>46100</v>
      </c>
      <c r="H92" s="83">
        <v>46101</v>
      </c>
      <c r="I92" s="83">
        <v>46100</v>
      </c>
      <c r="J92" s="80" t="s">
        <v>28</v>
      </c>
      <c r="K92" s="80">
        <v>100</v>
      </c>
    </row>
    <row r="93" spans="1:11" s="49" customFormat="1">
      <c r="A93" s="78" t="s">
        <v>243</v>
      </c>
      <c r="B93" s="78" t="s">
        <v>244</v>
      </c>
      <c r="C93" s="78"/>
      <c r="D93" s="78" t="s">
        <v>55</v>
      </c>
      <c r="E93" s="78" t="s">
        <v>245</v>
      </c>
      <c r="F93" s="78" t="s">
        <v>101</v>
      </c>
      <c r="G93" s="79">
        <v>46099</v>
      </c>
      <c r="H93" s="79">
        <v>46099</v>
      </c>
      <c r="I93" s="79">
        <v>46099</v>
      </c>
      <c r="J93" s="78" t="s">
        <v>28</v>
      </c>
      <c r="K93" s="78">
        <v>100</v>
      </c>
    </row>
    <row r="94" spans="1:11" s="49" customFormat="1" ht="30.75">
      <c r="A94" s="78" t="s">
        <v>246</v>
      </c>
      <c r="B94" s="80" t="s">
        <v>247</v>
      </c>
      <c r="C94" s="78"/>
      <c r="D94" s="78" t="s">
        <v>59</v>
      </c>
      <c r="E94" s="78" t="s">
        <v>200</v>
      </c>
      <c r="F94" s="78" t="s">
        <v>216</v>
      </c>
      <c r="G94" s="79">
        <v>46100</v>
      </c>
      <c r="H94" s="79">
        <v>46101</v>
      </c>
      <c r="I94" s="79">
        <v>46101</v>
      </c>
      <c r="J94" s="78" t="s">
        <v>28</v>
      </c>
      <c r="K94" s="78">
        <v>100</v>
      </c>
    </row>
    <row r="95" spans="1:11" s="49" customFormat="1">
      <c r="A95" s="78" t="s">
        <v>248</v>
      </c>
      <c r="B95" s="78" t="s">
        <v>249</v>
      </c>
      <c r="C95" s="78"/>
      <c r="D95" s="78" t="s">
        <v>61</v>
      </c>
      <c r="E95" s="78" t="s">
        <v>250</v>
      </c>
      <c r="F95" s="78" t="s">
        <v>101</v>
      </c>
      <c r="G95" s="79">
        <v>46100</v>
      </c>
      <c r="H95" s="79">
        <v>46101</v>
      </c>
      <c r="I95" s="79">
        <v>46107</v>
      </c>
      <c r="J95" s="78" t="s">
        <v>28</v>
      </c>
      <c r="K95" s="78"/>
    </row>
    <row r="96" spans="1:11" s="49" customFormat="1">
      <c r="A96" s="78" t="s">
        <v>251</v>
      </c>
      <c r="B96" s="78" t="s">
        <v>252</v>
      </c>
      <c r="C96" s="78"/>
      <c r="D96" s="78" t="s">
        <v>81</v>
      </c>
      <c r="E96" s="78" t="s">
        <v>200</v>
      </c>
      <c r="F96" s="78" t="s">
        <v>37</v>
      </c>
      <c r="G96" s="79">
        <v>46104</v>
      </c>
      <c r="H96" s="79">
        <v>46108</v>
      </c>
      <c r="I96" s="79">
        <v>46107</v>
      </c>
      <c r="J96" s="78" t="s">
        <v>28</v>
      </c>
      <c r="K96" s="78"/>
    </row>
    <row r="97" spans="1:11" s="49" customFormat="1">
      <c r="A97" s="78" t="s">
        <v>253</v>
      </c>
      <c r="B97" s="78" t="s">
        <v>254</v>
      </c>
      <c r="C97" s="78"/>
      <c r="D97" s="78" t="s">
        <v>81</v>
      </c>
      <c r="E97" s="78" t="s">
        <v>200</v>
      </c>
      <c r="F97" s="78" t="s">
        <v>34</v>
      </c>
      <c r="G97" s="79">
        <v>46104</v>
      </c>
      <c r="H97" s="79">
        <v>46108</v>
      </c>
      <c r="I97" s="79">
        <v>46107</v>
      </c>
      <c r="J97" s="78" t="s">
        <v>28</v>
      </c>
      <c r="K97" s="78">
        <v>100</v>
      </c>
    </row>
    <row r="98" spans="1:11" s="49" customFormat="1">
      <c r="A98" s="78" t="s">
        <v>255</v>
      </c>
      <c r="B98" s="78"/>
      <c r="C98" s="78"/>
      <c r="D98" s="78" t="s">
        <v>66</v>
      </c>
      <c r="E98" s="78" t="s">
        <v>256</v>
      </c>
      <c r="F98" s="78" t="s">
        <v>75</v>
      </c>
      <c r="G98" s="79">
        <v>46106</v>
      </c>
      <c r="H98" s="79">
        <v>46107</v>
      </c>
      <c r="I98" s="79">
        <v>46107</v>
      </c>
      <c r="J98" s="78" t="s">
        <v>28</v>
      </c>
      <c r="K98" s="78">
        <v>100</v>
      </c>
    </row>
    <row r="99" spans="1:11" s="49" customFormat="1">
      <c r="A99" s="78" t="s">
        <v>257</v>
      </c>
      <c r="B99" s="78" t="s">
        <v>258</v>
      </c>
      <c r="C99" s="78"/>
      <c r="D99" s="78" t="s">
        <v>66</v>
      </c>
      <c r="E99" s="78" t="s">
        <v>259</v>
      </c>
      <c r="F99" s="78" t="s">
        <v>260</v>
      </c>
      <c r="G99" s="79">
        <v>46125</v>
      </c>
      <c r="H99" s="79">
        <v>46128</v>
      </c>
      <c r="I99" s="79"/>
      <c r="J99" s="78" t="s">
        <v>28</v>
      </c>
      <c r="K99" s="78">
        <v>100</v>
      </c>
    </row>
    <row r="100" spans="1:11" s="49" customFormat="1" ht="32.25">
      <c r="A100" s="78" t="s">
        <v>261</v>
      </c>
      <c r="B100" s="80" t="s">
        <v>262</v>
      </c>
      <c r="C100" s="78"/>
      <c r="D100" s="78" t="s">
        <v>59</v>
      </c>
      <c r="E100" s="78" t="s">
        <v>263</v>
      </c>
      <c r="F100" s="78" t="s">
        <v>216</v>
      </c>
      <c r="G100" s="79">
        <v>46108</v>
      </c>
      <c r="H100" s="79">
        <v>46112</v>
      </c>
      <c r="I100" s="79">
        <v>46111</v>
      </c>
      <c r="J100" s="78" t="s">
        <v>28</v>
      </c>
      <c r="K100" s="78">
        <v>100</v>
      </c>
    </row>
    <row r="101" spans="1:11" s="49" customFormat="1">
      <c r="A101" s="78" t="s">
        <v>264</v>
      </c>
      <c r="B101" s="78" t="s">
        <v>265</v>
      </c>
      <c r="C101" s="78"/>
      <c r="D101" s="78" t="s">
        <v>66</v>
      </c>
      <c r="E101" s="78" t="s">
        <v>259</v>
      </c>
      <c r="F101" s="78" t="s">
        <v>75</v>
      </c>
      <c r="G101" s="79">
        <v>46112</v>
      </c>
      <c r="H101" s="79">
        <v>46114</v>
      </c>
      <c r="I101" s="79">
        <v>46114</v>
      </c>
      <c r="J101" s="78" t="s">
        <v>28</v>
      </c>
      <c r="K101" s="78">
        <v>100</v>
      </c>
    </row>
    <row r="102" spans="1:11" s="49" customFormat="1" ht="47.25">
      <c r="A102" s="80" t="s">
        <v>266</v>
      </c>
      <c r="B102" s="80" t="s">
        <v>267</v>
      </c>
      <c r="C102" s="78"/>
      <c r="D102" s="78" t="s">
        <v>66</v>
      </c>
      <c r="E102" s="78" t="s">
        <v>268</v>
      </c>
      <c r="F102" s="78" t="s">
        <v>216</v>
      </c>
      <c r="G102" s="79">
        <v>46112</v>
      </c>
      <c r="H102" s="79">
        <v>46114</v>
      </c>
      <c r="I102" s="79">
        <v>46114</v>
      </c>
      <c r="J102" s="78" t="s">
        <v>28</v>
      </c>
      <c r="K102" s="78">
        <v>100</v>
      </c>
    </row>
    <row r="103" spans="1:11" s="49" customFormat="1" ht="30.75">
      <c r="A103" s="80" t="s">
        <v>269</v>
      </c>
      <c r="B103" s="80" t="s">
        <v>270</v>
      </c>
      <c r="C103" s="78"/>
      <c r="D103" s="78" t="s">
        <v>66</v>
      </c>
      <c r="E103" s="78" t="s">
        <v>200</v>
      </c>
      <c r="F103" s="78" t="s">
        <v>34</v>
      </c>
      <c r="G103" s="79">
        <v>46112</v>
      </c>
      <c r="H103" s="79">
        <v>46113</v>
      </c>
      <c r="I103" s="79">
        <v>46112</v>
      </c>
      <c r="J103" s="78" t="s">
        <v>28</v>
      </c>
      <c r="K103" s="78">
        <v>100</v>
      </c>
    </row>
    <row r="104" spans="1:11" s="49" customFormat="1">
      <c r="A104" s="80" t="s">
        <v>271</v>
      </c>
      <c r="B104" s="80" t="s">
        <v>272</v>
      </c>
      <c r="C104" s="78"/>
      <c r="D104" s="78" t="s">
        <v>61</v>
      </c>
      <c r="E104" s="78" t="s">
        <v>200</v>
      </c>
      <c r="F104" s="78" t="s">
        <v>137</v>
      </c>
      <c r="G104" s="79">
        <v>46112</v>
      </c>
      <c r="H104" s="79">
        <v>46113</v>
      </c>
      <c r="I104" s="79">
        <v>46112</v>
      </c>
      <c r="J104" s="78" t="s">
        <v>28</v>
      </c>
      <c r="K104" s="78">
        <v>100</v>
      </c>
    </row>
    <row r="105" spans="1:11" s="49" customFormat="1">
      <c r="A105" s="80" t="s">
        <v>273</v>
      </c>
      <c r="B105" s="80"/>
      <c r="C105" s="78"/>
      <c r="D105" s="78" t="s">
        <v>66</v>
      </c>
      <c r="E105" s="78" t="s">
        <v>236</v>
      </c>
      <c r="F105" s="78" t="s">
        <v>181</v>
      </c>
      <c r="G105" s="79">
        <v>46118</v>
      </c>
      <c r="H105" s="79">
        <v>46122</v>
      </c>
      <c r="I105" s="79">
        <v>46127</v>
      </c>
      <c r="J105" s="78" t="s">
        <v>28</v>
      </c>
      <c r="K105" s="78">
        <v>100</v>
      </c>
    </row>
    <row r="106" spans="1:11" s="56" customFormat="1">
      <c r="A106" s="84" t="s">
        <v>274</v>
      </c>
      <c r="B106" s="84"/>
      <c r="C106" s="84"/>
      <c r="D106" s="84" t="s">
        <v>66</v>
      </c>
      <c r="E106" s="84" t="s">
        <v>236</v>
      </c>
      <c r="F106" s="84" t="s">
        <v>275</v>
      </c>
      <c r="G106" s="85"/>
      <c r="H106" s="85"/>
      <c r="I106" s="85"/>
      <c r="J106" s="84"/>
      <c r="K106" s="84"/>
    </row>
    <row r="107" spans="1:11" s="49" customFormat="1">
      <c r="A107" s="78" t="s">
        <v>276</v>
      </c>
      <c r="B107" s="78"/>
      <c r="C107" s="78"/>
      <c r="D107" s="78" t="s">
        <v>66</v>
      </c>
      <c r="E107" s="78" t="s">
        <v>236</v>
      </c>
      <c r="F107" s="78" t="s">
        <v>114</v>
      </c>
      <c r="G107" s="79">
        <v>46111</v>
      </c>
      <c r="H107" s="79">
        <v>46114</v>
      </c>
      <c r="I107" s="79">
        <v>46114</v>
      </c>
      <c r="J107" s="78" t="s">
        <v>28</v>
      </c>
      <c r="K107" s="78">
        <v>100</v>
      </c>
    </row>
    <row r="108" spans="1:11" s="57" customFormat="1">
      <c r="A108" s="86" t="s">
        <v>250</v>
      </c>
      <c r="B108" s="86"/>
      <c r="C108" s="86"/>
      <c r="D108" s="86" t="s">
        <v>66</v>
      </c>
      <c r="E108" s="86" t="s">
        <v>236</v>
      </c>
      <c r="F108" s="86" t="s">
        <v>101</v>
      </c>
      <c r="G108" s="87">
        <v>46118</v>
      </c>
      <c r="H108" s="87">
        <v>46129</v>
      </c>
      <c r="I108" s="87"/>
      <c r="J108" s="86" t="s">
        <v>195</v>
      </c>
      <c r="K108" s="86">
        <v>20</v>
      </c>
    </row>
    <row r="109" spans="1:11" s="57" customFormat="1">
      <c r="A109" s="86" t="s">
        <v>277</v>
      </c>
      <c r="B109" s="86"/>
      <c r="C109" s="86"/>
      <c r="D109" s="86" t="s">
        <v>66</v>
      </c>
      <c r="E109" s="86" t="s">
        <v>236</v>
      </c>
      <c r="F109" s="86" t="s">
        <v>98</v>
      </c>
      <c r="G109" s="87">
        <v>46119</v>
      </c>
      <c r="H109" s="87">
        <v>46129</v>
      </c>
      <c r="I109" s="87"/>
      <c r="J109" s="86" t="s">
        <v>195</v>
      </c>
      <c r="K109" s="86"/>
    </row>
    <row r="110" spans="1:11" s="49" customFormat="1">
      <c r="A110" s="78" t="s">
        <v>278</v>
      </c>
      <c r="B110" s="80" t="s">
        <v>279</v>
      </c>
      <c r="C110" s="78"/>
      <c r="D110" s="78" t="s">
        <v>81</v>
      </c>
      <c r="E110" s="78" t="s">
        <v>71</v>
      </c>
      <c r="F110" s="78" t="s">
        <v>216</v>
      </c>
      <c r="G110" s="79">
        <v>46118</v>
      </c>
      <c r="H110" s="79">
        <v>46120</v>
      </c>
      <c r="I110" s="79">
        <v>46120</v>
      </c>
      <c r="J110" s="78" t="s">
        <v>28</v>
      </c>
      <c r="K110" s="78">
        <v>100</v>
      </c>
    </row>
    <row r="111" spans="1:11" s="49" customFormat="1">
      <c r="A111" s="78" t="s">
        <v>280</v>
      </c>
      <c r="B111" s="78"/>
      <c r="C111" s="78"/>
      <c r="D111" s="78" t="s">
        <v>66</v>
      </c>
      <c r="E111" s="78" t="s">
        <v>259</v>
      </c>
      <c r="F111" s="78" t="s">
        <v>75</v>
      </c>
      <c r="G111" s="79">
        <v>46119</v>
      </c>
      <c r="H111" s="79">
        <v>46121</v>
      </c>
      <c r="I111" s="79">
        <v>46121</v>
      </c>
      <c r="J111" s="78" t="s">
        <v>28</v>
      </c>
      <c r="K111" s="78">
        <v>100</v>
      </c>
    </row>
    <row r="112" spans="1:11" s="49" customFormat="1">
      <c r="A112" s="78" t="s">
        <v>281</v>
      </c>
      <c r="B112" s="78"/>
      <c r="C112" s="78"/>
      <c r="D112" s="78" t="s">
        <v>66</v>
      </c>
      <c r="E112" s="78" t="s">
        <v>259</v>
      </c>
      <c r="F112" s="78" t="s">
        <v>216</v>
      </c>
      <c r="G112" s="79">
        <v>46121</v>
      </c>
      <c r="H112" s="79">
        <v>46122</v>
      </c>
      <c r="I112" s="79">
        <v>46122</v>
      </c>
      <c r="J112" s="78" t="s">
        <v>28</v>
      </c>
      <c r="K112" s="78">
        <v>100</v>
      </c>
    </row>
    <row r="113" spans="1:11" s="57" customFormat="1">
      <c r="A113" s="86" t="s">
        <v>282</v>
      </c>
      <c r="B113" s="86"/>
      <c r="C113" s="86"/>
      <c r="D113" s="86" t="s">
        <v>81</v>
      </c>
      <c r="E113" s="86" t="s">
        <v>259</v>
      </c>
      <c r="F113" s="86" t="s">
        <v>283</v>
      </c>
      <c r="G113" s="87">
        <v>46125</v>
      </c>
      <c r="H113" s="87">
        <v>46129</v>
      </c>
      <c r="I113" s="87"/>
      <c r="J113" s="86" t="s">
        <v>195</v>
      </c>
      <c r="K113" s="86"/>
    </row>
    <row r="114" spans="1:11" s="49" customFormat="1">
      <c r="A114" s="78" t="s">
        <v>284</v>
      </c>
      <c r="B114" s="78" t="s">
        <v>285</v>
      </c>
      <c r="C114" s="78"/>
      <c r="D114" s="78" t="s">
        <v>66</v>
      </c>
      <c r="E114" s="78" t="s">
        <v>259</v>
      </c>
      <c r="F114" s="78" t="s">
        <v>75</v>
      </c>
      <c r="G114" s="79">
        <v>46127</v>
      </c>
      <c r="H114" s="79">
        <v>46128</v>
      </c>
      <c r="I114" s="79">
        <v>46128</v>
      </c>
      <c r="J114" s="78" t="s">
        <v>28</v>
      </c>
      <c r="K114" s="78">
        <v>100</v>
      </c>
    </row>
    <row r="115" spans="1:11" s="49" customFormat="1">
      <c r="A115" s="78" t="s">
        <v>286</v>
      </c>
      <c r="B115" s="78" t="s">
        <v>287</v>
      </c>
      <c r="C115" s="78"/>
      <c r="D115" s="78" t="s">
        <v>59</v>
      </c>
      <c r="E115" s="78" t="s">
        <v>71</v>
      </c>
      <c r="F115" s="78" t="s">
        <v>150</v>
      </c>
      <c r="G115" s="79">
        <v>46127</v>
      </c>
      <c r="H115" s="79">
        <v>46129</v>
      </c>
      <c r="I115" s="79">
        <v>46128</v>
      </c>
      <c r="J115" s="78" t="s">
        <v>28</v>
      </c>
      <c r="K115" s="78">
        <v>100</v>
      </c>
    </row>
    <row r="116" spans="1:11" s="49" customFormat="1">
      <c r="A116" s="80" t="s">
        <v>288</v>
      </c>
      <c r="B116" s="78" t="s">
        <v>289</v>
      </c>
      <c r="C116" s="78"/>
      <c r="D116" s="78" t="s">
        <v>81</v>
      </c>
      <c r="E116" s="78" t="s">
        <v>71</v>
      </c>
      <c r="F116" s="78" t="s">
        <v>75</v>
      </c>
      <c r="G116" s="79">
        <v>46127</v>
      </c>
      <c r="H116" s="79">
        <v>46128</v>
      </c>
      <c r="I116" s="79">
        <v>46127</v>
      </c>
      <c r="J116" s="78" t="s">
        <v>28</v>
      </c>
      <c r="K116" s="78">
        <v>100</v>
      </c>
    </row>
    <row r="117" spans="1:11" s="49" customFormat="1" ht="30.75">
      <c r="A117" s="78" t="s">
        <v>290</v>
      </c>
      <c r="B117" s="80" t="s">
        <v>291</v>
      </c>
      <c r="C117" s="78"/>
      <c r="D117" s="78" t="s">
        <v>66</v>
      </c>
      <c r="E117" s="78" t="s">
        <v>71</v>
      </c>
      <c r="F117" s="78" t="s">
        <v>260</v>
      </c>
      <c r="G117" s="79">
        <v>46125</v>
      </c>
      <c r="H117" s="79">
        <v>46129</v>
      </c>
      <c r="I117" s="79"/>
      <c r="J117" s="78" t="s">
        <v>28</v>
      </c>
      <c r="K117" s="78">
        <v>100</v>
      </c>
    </row>
    <row r="118" spans="1:11" s="49" customFormat="1" ht="30.75">
      <c r="A118" s="78" t="s">
        <v>292</v>
      </c>
      <c r="B118" s="80" t="s">
        <v>293</v>
      </c>
      <c r="C118" s="78"/>
      <c r="D118" s="78" t="s">
        <v>66</v>
      </c>
      <c r="E118" s="78" t="s">
        <v>259</v>
      </c>
      <c r="F118" s="78" t="s">
        <v>260</v>
      </c>
      <c r="G118" s="79">
        <v>46125</v>
      </c>
      <c r="H118" s="79">
        <v>46129</v>
      </c>
      <c r="I118" s="79">
        <v>46128</v>
      </c>
      <c r="J118" s="78" t="s">
        <v>28</v>
      </c>
      <c r="K118" s="78">
        <v>100</v>
      </c>
    </row>
    <row r="119" spans="1:11" s="49" customFormat="1">
      <c r="A119" s="78" t="s">
        <v>294</v>
      </c>
      <c r="B119" s="78" t="s">
        <v>295</v>
      </c>
      <c r="C119" s="78"/>
      <c r="D119" s="78" t="s">
        <v>66</v>
      </c>
      <c r="E119" s="78" t="s">
        <v>82</v>
      </c>
      <c r="F119" s="78" t="s">
        <v>154</v>
      </c>
      <c r="G119" s="79">
        <v>46118</v>
      </c>
      <c r="H119" s="79">
        <v>46122</v>
      </c>
      <c r="I119" s="79">
        <v>46124</v>
      </c>
      <c r="J119" s="78" t="s">
        <v>28</v>
      </c>
      <c r="K119" s="78">
        <v>100</v>
      </c>
    </row>
    <row r="120" spans="1:11" s="49" customFormat="1">
      <c r="A120" s="78" t="s">
        <v>296</v>
      </c>
      <c r="B120" s="78" t="s">
        <v>297</v>
      </c>
      <c r="C120" s="78"/>
      <c r="D120" s="78" t="s">
        <v>66</v>
      </c>
      <c r="E120" s="78" t="s">
        <v>82</v>
      </c>
      <c r="F120" s="78" t="s">
        <v>154</v>
      </c>
      <c r="G120" s="79">
        <v>46122</v>
      </c>
      <c r="H120" s="79">
        <v>46126</v>
      </c>
      <c r="I120" s="79">
        <v>46126</v>
      </c>
      <c r="J120" s="78" t="s">
        <v>28</v>
      </c>
      <c r="K120" s="78">
        <v>100</v>
      </c>
    </row>
    <row r="121" spans="1:11" s="49" customFormat="1">
      <c r="A121" s="78" t="s">
        <v>298</v>
      </c>
      <c r="B121" s="78" t="s">
        <v>299</v>
      </c>
      <c r="C121" s="78"/>
      <c r="D121" s="78" t="s">
        <v>66</v>
      </c>
      <c r="E121" s="78" t="s">
        <v>82</v>
      </c>
      <c r="F121" s="78" t="s">
        <v>154</v>
      </c>
      <c r="G121" s="79">
        <v>46120</v>
      </c>
      <c r="H121" s="79">
        <v>46124</v>
      </c>
      <c r="I121" s="79">
        <v>46125</v>
      </c>
      <c r="J121" s="78" t="s">
        <v>28</v>
      </c>
      <c r="K121" s="78">
        <v>100</v>
      </c>
    </row>
    <row r="122" spans="1:11" s="49" customFormat="1">
      <c r="A122" s="78" t="s">
        <v>300</v>
      </c>
      <c r="B122" s="78" t="s">
        <v>301</v>
      </c>
      <c r="C122" s="78"/>
      <c r="D122" s="78" t="s">
        <v>66</v>
      </c>
      <c r="E122" s="78" t="s">
        <v>82</v>
      </c>
      <c r="F122" s="78" t="s">
        <v>154</v>
      </c>
      <c r="G122" s="79">
        <v>46115</v>
      </c>
      <c r="H122" s="79">
        <v>46118</v>
      </c>
      <c r="I122" s="79">
        <v>46116</v>
      </c>
      <c r="J122" s="78" t="s">
        <v>28</v>
      </c>
      <c r="K122" s="78">
        <v>100</v>
      </c>
    </row>
    <row r="123" spans="1:11" s="49" customFormat="1">
      <c r="A123" s="78" t="s">
        <v>302</v>
      </c>
      <c r="B123" s="78"/>
      <c r="C123" s="78"/>
      <c r="D123" s="78" t="s">
        <v>66</v>
      </c>
      <c r="E123" s="78" t="s">
        <v>256</v>
      </c>
      <c r="F123" s="78" t="s">
        <v>260</v>
      </c>
      <c r="G123" s="79">
        <v>46129</v>
      </c>
      <c r="H123" s="79">
        <v>46132</v>
      </c>
      <c r="I123" s="79">
        <v>46132</v>
      </c>
      <c r="J123" s="78" t="s">
        <v>28</v>
      </c>
      <c r="K123" s="78">
        <v>100</v>
      </c>
    </row>
    <row r="124" spans="1:11" s="49" customFormat="1">
      <c r="A124" s="78" t="s">
        <v>303</v>
      </c>
      <c r="B124" s="78" t="s">
        <v>304</v>
      </c>
      <c r="C124" s="78"/>
      <c r="D124" s="78" t="s">
        <v>66</v>
      </c>
      <c r="E124" s="78" t="s">
        <v>71</v>
      </c>
      <c r="F124" s="78" t="s">
        <v>75</v>
      </c>
      <c r="G124" s="79">
        <v>46129</v>
      </c>
      <c r="H124" s="79">
        <v>46132</v>
      </c>
      <c r="I124" s="79"/>
      <c r="J124" s="78" t="s">
        <v>28</v>
      </c>
      <c r="K124" s="78">
        <v>100</v>
      </c>
    </row>
    <row r="125" spans="1:11" s="49" customFormat="1">
      <c r="A125" s="78" t="s">
        <v>305</v>
      </c>
      <c r="B125" s="78" t="s">
        <v>306</v>
      </c>
      <c r="C125" s="78"/>
      <c r="D125" s="78" t="s">
        <v>81</v>
      </c>
      <c r="E125" s="78" t="s">
        <v>71</v>
      </c>
      <c r="F125" s="78" t="s">
        <v>75</v>
      </c>
      <c r="G125" s="79">
        <v>46129</v>
      </c>
      <c r="H125" s="79">
        <v>46132</v>
      </c>
      <c r="I125" s="79"/>
      <c r="J125" s="78" t="s">
        <v>28</v>
      </c>
      <c r="K125" s="78">
        <v>100</v>
      </c>
    </row>
    <row r="126" spans="1:11" s="49" customFormat="1">
      <c r="A126" s="78" t="s">
        <v>307</v>
      </c>
      <c r="B126" s="78" t="s">
        <v>308</v>
      </c>
      <c r="C126" s="78"/>
      <c r="D126" s="78" t="s">
        <v>59</v>
      </c>
      <c r="E126" s="78" t="s">
        <v>71</v>
      </c>
      <c r="F126" s="78" t="s">
        <v>150</v>
      </c>
      <c r="G126" s="79">
        <v>46134</v>
      </c>
      <c r="H126" s="79">
        <v>46136</v>
      </c>
      <c r="I126" s="79">
        <v>46136</v>
      </c>
      <c r="J126" s="78" t="s">
        <v>28</v>
      </c>
      <c r="K126" s="78">
        <v>100</v>
      </c>
    </row>
    <row r="127" spans="1:11" s="57" customFormat="1">
      <c r="A127" s="86" t="s">
        <v>309</v>
      </c>
      <c r="B127" s="86" t="s">
        <v>310</v>
      </c>
      <c r="C127" s="86"/>
      <c r="D127" s="86" t="s">
        <v>81</v>
      </c>
      <c r="E127" s="86" t="s">
        <v>71</v>
      </c>
      <c r="F127" s="86" t="s">
        <v>150</v>
      </c>
      <c r="G127" s="87">
        <v>46136</v>
      </c>
      <c r="H127" s="87">
        <v>46142</v>
      </c>
      <c r="I127" s="87"/>
      <c r="J127" s="86" t="s">
        <v>195</v>
      </c>
      <c r="K127" s="86"/>
    </row>
    <row r="128" spans="1:11" s="57" customFormat="1">
      <c r="A128" s="86" t="s">
        <v>311</v>
      </c>
      <c r="B128" s="86" t="s">
        <v>312</v>
      </c>
      <c r="C128" s="86"/>
      <c r="D128" s="86" t="s">
        <v>66</v>
      </c>
      <c r="E128" s="86" t="s">
        <v>259</v>
      </c>
      <c r="F128" s="86" t="s">
        <v>75</v>
      </c>
      <c r="G128" s="87">
        <v>46136</v>
      </c>
      <c r="H128" s="87">
        <v>46141</v>
      </c>
      <c r="I128" s="87"/>
      <c r="J128" s="86" t="s">
        <v>195</v>
      </c>
      <c r="K128" s="86"/>
    </row>
    <row r="129" spans="1:11" s="49" customFormat="1">
      <c r="A129" s="80" t="s">
        <v>313</v>
      </c>
      <c r="B129" s="80" t="s">
        <v>314</v>
      </c>
      <c r="C129" s="78"/>
      <c r="D129" s="78" t="s">
        <v>315</v>
      </c>
      <c r="E129" s="78" t="s">
        <v>316</v>
      </c>
      <c r="F129" s="78" t="s">
        <v>154</v>
      </c>
      <c r="G129" s="79">
        <v>46134</v>
      </c>
      <c r="H129" s="79">
        <v>46136</v>
      </c>
      <c r="I129" s="79">
        <v>46136</v>
      </c>
      <c r="J129" s="78" t="s">
        <v>28</v>
      </c>
      <c r="K129" s="78">
        <v>100</v>
      </c>
    </row>
    <row r="130" spans="1:11" s="49" customFormat="1" ht="45.75">
      <c r="A130" s="78" t="s">
        <v>317</v>
      </c>
      <c r="B130" s="80" t="s">
        <v>318</v>
      </c>
      <c r="C130" s="78"/>
      <c r="D130" s="78" t="s">
        <v>319</v>
      </c>
      <c r="E130" s="78" t="s">
        <v>320</v>
      </c>
      <c r="F130" s="78" t="s">
        <v>154</v>
      </c>
      <c r="G130" s="79">
        <v>46132</v>
      </c>
      <c r="H130" s="79">
        <v>46138</v>
      </c>
      <c r="I130" s="79">
        <v>46139</v>
      </c>
      <c r="J130" s="78" t="s">
        <v>28</v>
      </c>
      <c r="K130" s="78">
        <v>100</v>
      </c>
    </row>
    <row r="131" spans="1:11" s="72" customFormat="1">
      <c r="A131" s="88"/>
      <c r="B131" s="88"/>
      <c r="C131" s="88"/>
      <c r="D131" s="88"/>
      <c r="E131" s="88"/>
      <c r="F131" s="88"/>
      <c r="G131" s="89"/>
      <c r="H131" s="89"/>
      <c r="I131" s="89"/>
      <c r="J131" s="88"/>
      <c r="K131" s="88"/>
    </row>
    <row r="132" spans="1:11" s="49" customFormat="1">
      <c r="A132" s="64" t="s">
        <v>321</v>
      </c>
      <c r="B132" s="65" t="s">
        <v>322</v>
      </c>
      <c r="C132" s="65"/>
      <c r="D132" s="65" t="s">
        <v>323</v>
      </c>
      <c r="E132" s="65" t="s">
        <v>82</v>
      </c>
      <c r="F132" s="65" t="s">
        <v>37</v>
      </c>
      <c r="G132" s="66">
        <v>46160</v>
      </c>
      <c r="H132" s="66">
        <v>46166</v>
      </c>
      <c r="I132" s="65"/>
      <c r="J132" s="73" t="s">
        <v>28</v>
      </c>
      <c r="K132" s="67">
        <v>1</v>
      </c>
    </row>
    <row r="133" spans="1:11" s="49" customFormat="1">
      <c r="A133" s="64" t="s">
        <v>324</v>
      </c>
      <c r="B133" s="65" t="s">
        <v>325</v>
      </c>
      <c r="C133" s="65"/>
      <c r="D133" s="65" t="s">
        <v>326</v>
      </c>
      <c r="E133" s="65" t="s">
        <v>57</v>
      </c>
      <c r="F133" s="65" t="s">
        <v>37</v>
      </c>
      <c r="G133" s="66">
        <v>46160</v>
      </c>
      <c r="H133" s="66">
        <v>46162</v>
      </c>
      <c r="I133" s="66">
        <v>46160</v>
      </c>
      <c r="J133" s="65" t="s">
        <v>28</v>
      </c>
      <c r="K133" s="67">
        <v>1</v>
      </c>
    </row>
    <row r="134" spans="1:11" s="49" customFormat="1">
      <c r="A134" s="64" t="s">
        <v>327</v>
      </c>
      <c r="B134" s="65" t="s">
        <v>328</v>
      </c>
      <c r="C134" s="65"/>
      <c r="D134" s="65" t="s">
        <v>329</v>
      </c>
      <c r="E134" s="65" t="s">
        <v>57</v>
      </c>
      <c r="F134" s="65" t="s">
        <v>37</v>
      </c>
      <c r="G134" s="66">
        <v>46160</v>
      </c>
      <c r="H134" s="66">
        <v>46164</v>
      </c>
      <c r="I134" s="65"/>
      <c r="J134" s="65" t="s">
        <v>28</v>
      </c>
      <c r="K134" s="67">
        <v>1</v>
      </c>
    </row>
    <row r="135" spans="1:11" s="49" customFormat="1">
      <c r="A135" s="64" t="s">
        <v>330</v>
      </c>
      <c r="B135" s="65" t="s">
        <v>331</v>
      </c>
      <c r="C135" s="65"/>
      <c r="D135" s="65" t="s">
        <v>332</v>
      </c>
      <c r="E135" s="65" t="s">
        <v>57</v>
      </c>
      <c r="F135" s="65" t="s">
        <v>37</v>
      </c>
      <c r="G135" s="66">
        <v>46160</v>
      </c>
      <c r="H135" s="66">
        <v>46165</v>
      </c>
      <c r="I135" s="65"/>
      <c r="J135" s="65" t="s">
        <v>28</v>
      </c>
      <c r="K135" s="67">
        <v>1</v>
      </c>
    </row>
    <row r="136" spans="1:11" s="49" customFormat="1">
      <c r="A136" s="64" t="s">
        <v>333</v>
      </c>
      <c r="B136" s="65" t="s">
        <v>334</v>
      </c>
      <c r="C136" s="65"/>
      <c r="D136" s="65" t="s">
        <v>326</v>
      </c>
      <c r="E136" s="65" t="s">
        <v>57</v>
      </c>
      <c r="F136" s="65" t="s">
        <v>37</v>
      </c>
      <c r="G136" s="66">
        <v>46160</v>
      </c>
      <c r="H136" s="66">
        <v>46163</v>
      </c>
      <c r="I136" s="66">
        <v>46160</v>
      </c>
      <c r="J136" s="65" t="s">
        <v>28</v>
      </c>
      <c r="K136" s="67">
        <v>1</v>
      </c>
    </row>
    <row r="137" spans="1:11">
      <c r="A137" s="63" t="s">
        <v>335</v>
      </c>
      <c r="B137" s="60" t="s">
        <v>336</v>
      </c>
      <c r="C137" s="60"/>
      <c r="D137" s="60" t="s">
        <v>332</v>
      </c>
      <c r="E137" s="60" t="s">
        <v>62</v>
      </c>
      <c r="F137" s="60"/>
      <c r="G137" s="61">
        <v>46160</v>
      </c>
      <c r="H137" s="61">
        <v>46164</v>
      </c>
      <c r="I137" s="60"/>
      <c r="J137" s="60" t="s">
        <v>337</v>
      </c>
      <c r="K137" s="62">
        <v>0</v>
      </c>
    </row>
    <row r="138" spans="1:11">
      <c r="A138" s="63" t="s">
        <v>338</v>
      </c>
      <c r="B138" s="60" t="s">
        <v>339</v>
      </c>
      <c r="C138" s="60"/>
      <c r="D138" s="60" t="s">
        <v>340</v>
      </c>
      <c r="E138" s="60" t="s">
        <v>62</v>
      </c>
      <c r="F138" s="60"/>
      <c r="G138" s="61">
        <v>46160</v>
      </c>
      <c r="H138" s="61">
        <v>46166</v>
      </c>
      <c r="I138" s="60"/>
      <c r="J138" s="60" t="s">
        <v>337</v>
      </c>
      <c r="K138" s="62">
        <v>0</v>
      </c>
    </row>
    <row r="139" spans="1:11">
      <c r="A139" s="63" t="s">
        <v>341</v>
      </c>
      <c r="B139" s="60" t="s">
        <v>342</v>
      </c>
      <c r="C139" s="60"/>
      <c r="D139" s="60" t="s">
        <v>332</v>
      </c>
      <c r="E139" s="60" t="s">
        <v>62</v>
      </c>
      <c r="F139" s="90"/>
      <c r="G139" s="61">
        <v>46160</v>
      </c>
      <c r="H139" s="61">
        <v>46165</v>
      </c>
      <c r="I139" s="60"/>
      <c r="J139" s="60" t="s">
        <v>337</v>
      </c>
      <c r="K139" s="62">
        <v>0</v>
      </c>
    </row>
    <row r="140" spans="1:11" s="49" customFormat="1">
      <c r="A140" s="64" t="s">
        <v>343</v>
      </c>
      <c r="B140" s="65" t="s">
        <v>344</v>
      </c>
      <c r="C140" s="65"/>
      <c r="D140" s="65" t="s">
        <v>332</v>
      </c>
      <c r="E140" s="65" t="s">
        <v>62</v>
      </c>
      <c r="F140" s="65" t="s">
        <v>37</v>
      </c>
      <c r="G140" s="66">
        <v>46160</v>
      </c>
      <c r="H140" s="66">
        <v>46167</v>
      </c>
      <c r="I140" s="66">
        <v>46160</v>
      </c>
      <c r="J140" s="65" t="s">
        <v>28</v>
      </c>
      <c r="K140" s="67">
        <v>1</v>
      </c>
    </row>
    <row r="141" spans="1:11" s="49" customFormat="1">
      <c r="A141" s="64" t="s">
        <v>345</v>
      </c>
      <c r="B141" s="65" t="s">
        <v>346</v>
      </c>
      <c r="C141" s="65"/>
      <c r="D141" s="65" t="s">
        <v>326</v>
      </c>
      <c r="E141" s="65" t="s">
        <v>68</v>
      </c>
      <c r="F141" s="65" t="s">
        <v>37</v>
      </c>
      <c r="G141" s="66">
        <v>46160</v>
      </c>
      <c r="H141" s="66">
        <v>46162</v>
      </c>
      <c r="I141" s="66">
        <v>46160</v>
      </c>
      <c r="J141" s="65" t="s">
        <v>28</v>
      </c>
      <c r="K141" s="67">
        <v>1</v>
      </c>
    </row>
    <row r="142" spans="1:11">
      <c r="A142" s="63" t="s">
        <v>347</v>
      </c>
      <c r="B142" s="60" t="s">
        <v>348</v>
      </c>
      <c r="C142" s="60"/>
      <c r="D142" s="60" t="s">
        <v>349</v>
      </c>
      <c r="E142" s="60" t="s">
        <v>350</v>
      </c>
      <c r="F142" s="60"/>
      <c r="G142" s="61">
        <v>46160</v>
      </c>
      <c r="H142" s="61">
        <v>46162</v>
      </c>
      <c r="I142" s="60"/>
      <c r="J142" s="60" t="s">
        <v>337</v>
      </c>
      <c r="K142" s="62">
        <v>0</v>
      </c>
    </row>
    <row r="143" spans="1:11">
      <c r="A143" s="63" t="s">
        <v>351</v>
      </c>
      <c r="B143" s="60" t="s">
        <v>352</v>
      </c>
      <c r="C143" s="60"/>
      <c r="D143" s="60" t="s">
        <v>332</v>
      </c>
      <c r="E143" s="60" t="s">
        <v>353</v>
      </c>
      <c r="F143" s="60"/>
      <c r="G143" s="61">
        <v>46160</v>
      </c>
      <c r="H143" s="61">
        <v>46168</v>
      </c>
      <c r="I143" s="60"/>
      <c r="J143" s="60" t="s">
        <v>337</v>
      </c>
      <c r="K143" s="62">
        <v>0</v>
      </c>
    </row>
    <row r="144" spans="1:11" s="49" customFormat="1">
      <c r="A144" s="68" t="s">
        <v>354</v>
      </c>
      <c r="B144" s="69" t="s">
        <v>355</v>
      </c>
      <c r="C144" s="69"/>
      <c r="D144" s="69" t="s">
        <v>332</v>
      </c>
      <c r="E144" s="69" t="s">
        <v>356</v>
      </c>
      <c r="F144" s="69" t="s">
        <v>37</v>
      </c>
      <c r="G144" s="70">
        <v>46160</v>
      </c>
      <c r="H144" s="70">
        <v>46161</v>
      </c>
      <c r="I144" s="70">
        <v>46160</v>
      </c>
      <c r="J144" s="69" t="s">
        <v>28</v>
      </c>
      <c r="K144" s="71">
        <v>1</v>
      </c>
    </row>
    <row r="148" spans="1:13">
      <c r="A148" s="90" t="s">
        <v>357</v>
      </c>
      <c r="B148" s="90"/>
      <c r="C148" s="90"/>
      <c r="D148" s="90"/>
      <c r="E148" s="90"/>
      <c r="F148" s="90"/>
      <c r="G148" s="91"/>
      <c r="H148" s="91"/>
      <c r="I148" s="91"/>
      <c r="J148" s="90"/>
      <c r="K148" s="90"/>
      <c r="L148" s="90"/>
      <c r="M148" s="90"/>
    </row>
    <row r="149" spans="1:13">
      <c r="A149" s="90" t="s">
        <v>358</v>
      </c>
      <c r="B149" s="90"/>
      <c r="C149" s="90"/>
      <c r="D149" s="90"/>
      <c r="E149" s="90"/>
      <c r="F149" s="90"/>
      <c r="G149" s="91"/>
      <c r="H149" s="91"/>
      <c r="I149" s="91"/>
      <c r="J149" s="90"/>
      <c r="K149" s="90"/>
      <c r="L149" s="90"/>
      <c r="M149" s="90"/>
    </row>
    <row r="150" spans="1:13">
      <c r="A150" s="90" t="s">
        <v>359</v>
      </c>
      <c r="B150" s="90"/>
      <c r="C150" s="90"/>
      <c r="D150" s="90"/>
      <c r="E150" s="90"/>
      <c r="F150" s="90"/>
      <c r="G150" s="91"/>
      <c r="H150" s="91"/>
      <c r="I150" s="91"/>
      <c r="J150" s="90"/>
      <c r="K150" s="90"/>
      <c r="L150" s="90"/>
      <c r="M150" s="90"/>
    </row>
    <row r="151" spans="1:13">
      <c r="A151" s="90" t="s">
        <v>360</v>
      </c>
      <c r="B151" s="90"/>
      <c r="C151" s="90"/>
      <c r="D151" s="90"/>
      <c r="E151" s="90"/>
      <c r="F151" s="90"/>
      <c r="G151" s="91"/>
      <c r="H151" s="91"/>
      <c r="I151" s="91"/>
      <c r="J151" s="90"/>
      <c r="K151" s="90"/>
      <c r="L151" s="90"/>
      <c r="M151" s="90"/>
    </row>
    <row r="152" spans="1:13">
      <c r="A152" s="90" t="s">
        <v>361</v>
      </c>
      <c r="B152" s="90"/>
      <c r="C152" s="90"/>
      <c r="D152" s="90"/>
      <c r="E152" s="90"/>
      <c r="F152" s="90"/>
      <c r="G152" s="91"/>
      <c r="H152" s="91"/>
      <c r="I152" s="91"/>
      <c r="J152" s="90"/>
      <c r="K152" s="90"/>
      <c r="L152" s="90"/>
      <c r="M152" s="90"/>
    </row>
    <row r="153" spans="1:13">
      <c r="A153" s="90" t="s">
        <v>362</v>
      </c>
      <c r="B153" s="90"/>
      <c r="C153" s="90"/>
      <c r="D153" s="90"/>
      <c r="E153" s="90"/>
      <c r="F153" s="90"/>
      <c r="G153" s="91"/>
      <c r="H153" s="91"/>
      <c r="I153" s="91"/>
      <c r="J153" s="90"/>
      <c r="K153" s="90"/>
      <c r="L153" s="90"/>
      <c r="M153" s="90"/>
    </row>
    <row r="154" spans="1:13">
      <c r="A154" s="90"/>
      <c r="B154" s="90"/>
      <c r="C154" s="90"/>
      <c r="D154" s="90"/>
      <c r="E154" s="90"/>
      <c r="F154" s="90"/>
      <c r="G154" s="91"/>
      <c r="H154" s="91"/>
      <c r="I154" s="91"/>
      <c r="J154" s="90"/>
      <c r="K154" s="90"/>
      <c r="L154" s="90"/>
      <c r="M154" s="90"/>
    </row>
    <row r="155" spans="1:13">
      <c r="A155" s="90"/>
      <c r="B155" s="90"/>
      <c r="C155" s="90"/>
      <c r="D155" s="90"/>
      <c r="E155" s="90"/>
      <c r="F155" s="90"/>
      <c r="G155" s="91"/>
      <c r="H155" s="91"/>
      <c r="I155" s="91"/>
      <c r="J155" s="90"/>
      <c r="K155" s="90"/>
      <c r="L155" s="90"/>
      <c r="M155" s="90"/>
    </row>
  </sheetData>
  <autoFilter ref="A1:M109" xr:uid="{00000000-0001-0000-0100-000000000000}"/>
  <conditionalFormatting sqref="G20:I20 G9:H13 I2:I19 A2:H6 F7:H8 F14:H17 A18:I19 A20:E22 A24:E24 A23 D23:E23 A32:J37 A45 D45:E45 B53:E53 C54:E54 A59:A60 C59:M60 A52:G52 I52:M56 F53:G56 A61:M62 A63:D65 F63:F65 A46:J46 L46:M46 A51:J51 L51:M51 A77:M83 A55:E58 F57:M58 A84:E88 G84:M88 A38:E44 G38:M45 B70:I70 A89:M95 A71:I76 A98:M99 C100:M101 A100:A101 B100 B96:M97 I63:M65 F21:I24 A25:I31 A66:I69 J66:M76 A7:E17 K18:M37 J18:J31 J2:M17 A47:M50 A102:M131 A145:M481">
    <cfRule type="expression" dxfId="72" priority="20">
      <formula>$J2="Completed"</formula>
    </cfRule>
    <cfRule type="expression" dxfId="71" priority="21">
      <formula>$J2="In Progress"</formula>
    </cfRule>
    <cfRule type="expression" dxfId="70" priority="22">
      <formula>$J2="Not Started"</formula>
    </cfRule>
    <cfRule type="expression" dxfId="69" priority="23">
      <formula>$J2="On Hold"</formula>
    </cfRule>
  </conditionalFormatting>
  <conditionalFormatting sqref="J1">
    <cfRule type="expression" dxfId="68" priority="15">
      <formula>$J2="Not Started"</formula>
    </cfRule>
  </conditionalFormatting>
  <conditionalFormatting sqref="J1">
    <cfRule type="expression" dxfId="67" priority="14">
      <formula>$J2="Completed"</formula>
    </cfRule>
  </conditionalFormatting>
  <conditionalFormatting sqref="J1">
    <cfRule type="expression" dxfId="66" priority="13">
      <formula>$J2="In Progress"</formula>
    </cfRule>
  </conditionalFormatting>
  <conditionalFormatting sqref="F42 F44">
    <cfRule type="expression" dxfId="65" priority="28">
      <formula>$J39="Completed"</formula>
    </cfRule>
    <cfRule type="expression" dxfId="64" priority="29">
      <formula>$J39="In Progress"</formula>
    </cfRule>
    <cfRule type="expression" dxfId="63" priority="30">
      <formula>$J39="Not Started"</formula>
    </cfRule>
    <cfRule type="expression" dxfId="62" priority="31">
      <formula>$J39="On Hold"</formula>
    </cfRule>
  </conditionalFormatting>
  <conditionalFormatting sqref="B55">
    <cfRule type="expression" dxfId="61" priority="41">
      <formula>$J54="Completed"</formula>
    </cfRule>
    <cfRule type="expression" dxfId="60" priority="42">
      <formula>$J54="In Progress"</formula>
    </cfRule>
    <cfRule type="expression" dxfId="59" priority="43">
      <formula>$J54="Not Started"</formula>
    </cfRule>
    <cfRule type="expression" dxfId="58" priority="44">
      <formula>$J54="On Hold"</formula>
    </cfRule>
  </conditionalFormatting>
  <conditionalFormatting sqref="K51">
    <cfRule type="expression" dxfId="57" priority="57">
      <formula>$J46="Completed"</formula>
    </cfRule>
    <cfRule type="expression" dxfId="56" priority="58">
      <formula>$J46="In Progress"</formula>
    </cfRule>
    <cfRule type="expression" dxfId="55" priority="59">
      <formula>$J46="Not Started"</formula>
    </cfRule>
    <cfRule type="expression" dxfId="54" priority="60">
      <formula>$J46="On Hold"</formula>
    </cfRule>
  </conditionalFormatting>
  <conditionalFormatting sqref="L132:M144">
    <cfRule type="expression" dxfId="53" priority="61">
      <formula>$K132="Completed"</formula>
    </cfRule>
    <cfRule type="expression" dxfId="52" priority="62">
      <formula>$K132="In Progress"</formula>
    </cfRule>
    <cfRule type="expression" dxfId="51" priority="63">
      <formula>$K132="Not Started"</formula>
    </cfRule>
    <cfRule type="expression" dxfId="50" priority="64">
      <formula>$K132="On Hold"</formula>
    </cfRule>
  </conditionalFormatting>
  <dataValidations count="1">
    <dataValidation type="list" allowBlank="1" sqref="J2:J131 J145:J481" xr:uid="{00000000-0002-0000-0100-000000000000}">
      <formula1>"Not Started,In Progress,Completed,On Hold"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H148"/>
  <sheetViews>
    <sheetView workbookViewId="0">
      <pane ySplit="1" topLeftCell="A5" activePane="bottomLeft" state="frozen"/>
      <selection pane="bottomLeft" activeCell="A22" sqref="A22"/>
    </sheetView>
  </sheetViews>
  <sheetFormatPr defaultRowHeight="15" customHeight="1"/>
  <cols>
    <col min="1" max="1" width="47.28515625" style="3" customWidth="1"/>
    <col min="2" max="3" width="16" style="10" customWidth="1"/>
    <col min="4" max="4" width="21.85546875" style="10" customWidth="1"/>
    <col min="5" max="6" width="14" style="3" customWidth="1"/>
    <col min="7" max="7" width="60.42578125" style="3" customWidth="1"/>
    <col min="8" max="8" width="43.42578125" style="3" bestFit="1" customWidth="1"/>
    <col min="9" max="16384" width="9.140625" style="3"/>
  </cols>
  <sheetData>
    <row r="1" spans="1:8" ht="15" customHeight="1">
      <c r="A1" s="32" t="s">
        <v>349</v>
      </c>
      <c r="B1" s="33" t="s">
        <v>6</v>
      </c>
      <c r="C1" s="33" t="s">
        <v>17</v>
      </c>
      <c r="D1" s="33" t="s">
        <v>363</v>
      </c>
      <c r="E1" s="32" t="s">
        <v>19</v>
      </c>
      <c r="F1" s="32" t="s">
        <v>364</v>
      </c>
      <c r="G1" s="32" t="s">
        <v>22</v>
      </c>
      <c r="H1" s="5" t="s">
        <v>365</v>
      </c>
    </row>
    <row r="2" spans="1:8">
      <c r="A2" s="34" t="s">
        <v>366</v>
      </c>
      <c r="B2" s="35"/>
      <c r="C2" s="35"/>
      <c r="D2" s="35"/>
      <c r="E2" s="34"/>
      <c r="F2" s="34"/>
      <c r="G2" s="34"/>
    </row>
    <row r="3" spans="1:8" s="37" customFormat="1">
      <c r="A3" s="37" t="s">
        <v>367</v>
      </c>
      <c r="B3" s="43">
        <v>46057</v>
      </c>
      <c r="C3" s="43">
        <v>46127</v>
      </c>
      <c r="D3" s="43">
        <v>46127</v>
      </c>
      <c r="E3" s="37" t="s">
        <v>28</v>
      </c>
      <c r="F3" s="37">
        <v>100</v>
      </c>
    </row>
    <row r="4" spans="1:8" s="27" customFormat="1">
      <c r="A4" s="27" t="s">
        <v>368</v>
      </c>
      <c r="B4" s="28"/>
      <c r="C4" s="28"/>
      <c r="D4" s="28"/>
    </row>
    <row r="5" spans="1:8" s="37" customFormat="1">
      <c r="A5" s="37" t="s">
        <v>369</v>
      </c>
      <c r="B5" s="43">
        <v>46092</v>
      </c>
      <c r="C5" s="43">
        <v>46094</v>
      </c>
      <c r="D5" s="43">
        <v>46094</v>
      </c>
      <c r="E5" s="37" t="s">
        <v>28</v>
      </c>
      <c r="F5" s="37">
        <v>100</v>
      </c>
    </row>
    <row r="6" spans="1:8" s="37" customFormat="1">
      <c r="A6" s="37" t="s">
        <v>71</v>
      </c>
      <c r="B6" s="43">
        <v>46037</v>
      </c>
      <c r="C6" s="43">
        <v>46037</v>
      </c>
      <c r="D6" s="43">
        <v>46129</v>
      </c>
      <c r="E6" s="37" t="s">
        <v>28</v>
      </c>
      <c r="F6" s="37">
        <v>100</v>
      </c>
    </row>
    <row r="7" spans="1:8" s="37" customFormat="1">
      <c r="A7" s="37" t="s">
        <v>57</v>
      </c>
      <c r="B7" s="43">
        <v>46051</v>
      </c>
      <c r="C7" s="43">
        <v>46100</v>
      </c>
      <c r="D7" s="43">
        <v>46100</v>
      </c>
      <c r="E7" s="37" t="s">
        <v>28</v>
      </c>
      <c r="F7" s="37">
        <v>100</v>
      </c>
    </row>
    <row r="8" spans="1:8" s="37" customFormat="1">
      <c r="A8" s="37" t="s">
        <v>370</v>
      </c>
      <c r="B8" s="43">
        <v>46115</v>
      </c>
      <c r="C8" s="43">
        <v>46118</v>
      </c>
      <c r="D8" s="43">
        <v>46115</v>
      </c>
      <c r="E8" s="37" t="s">
        <v>28</v>
      </c>
      <c r="F8" s="37">
        <v>100</v>
      </c>
    </row>
    <row r="9" spans="1:8" s="37" customFormat="1">
      <c r="A9" s="44" t="s">
        <v>62</v>
      </c>
      <c r="B9" s="43"/>
      <c r="C9" s="43">
        <v>46063</v>
      </c>
      <c r="D9" s="43">
        <v>46062</v>
      </c>
      <c r="E9" s="37" t="s">
        <v>28</v>
      </c>
      <c r="F9" s="37">
        <v>100</v>
      </c>
    </row>
    <row r="10" spans="1:8" s="37" customFormat="1">
      <c r="A10" s="37" t="s">
        <v>371</v>
      </c>
      <c r="B10" s="43"/>
      <c r="C10" s="43">
        <v>46077</v>
      </c>
      <c r="D10" s="43">
        <v>46077</v>
      </c>
      <c r="E10" s="37" t="s">
        <v>28</v>
      </c>
      <c r="F10" s="37">
        <v>100</v>
      </c>
    </row>
    <row r="11" spans="1:8" s="37" customFormat="1">
      <c r="A11" s="37" t="s">
        <v>119</v>
      </c>
      <c r="B11" s="43">
        <v>46085</v>
      </c>
      <c r="C11" s="43">
        <v>46091</v>
      </c>
      <c r="D11" s="43">
        <v>46089</v>
      </c>
      <c r="E11" s="37" t="s">
        <v>28</v>
      </c>
      <c r="F11" s="37">
        <v>100</v>
      </c>
    </row>
    <row r="12" spans="1:8" s="37" customFormat="1">
      <c r="A12" s="37" t="s">
        <v>372</v>
      </c>
      <c r="B12" s="43">
        <v>46118</v>
      </c>
      <c r="C12" s="43">
        <v>46129</v>
      </c>
      <c r="D12" s="43"/>
      <c r="E12" s="37" t="s">
        <v>28</v>
      </c>
      <c r="F12" s="37">
        <v>100</v>
      </c>
      <c r="H12" s="37" t="s">
        <v>373</v>
      </c>
    </row>
    <row r="13" spans="1:8" s="37" customFormat="1">
      <c r="A13" s="37" t="s">
        <v>180</v>
      </c>
      <c r="B13" s="43">
        <v>46118</v>
      </c>
      <c r="C13" s="43">
        <v>46129</v>
      </c>
      <c r="D13" s="43"/>
      <c r="E13" s="37" t="s">
        <v>28</v>
      </c>
      <c r="F13" s="74">
        <v>100</v>
      </c>
      <c r="G13" s="37" t="s">
        <v>374</v>
      </c>
      <c r="H13" s="37" t="s">
        <v>375</v>
      </c>
    </row>
    <row r="14" spans="1:8" s="37" customFormat="1">
      <c r="A14" s="37" t="s">
        <v>250</v>
      </c>
      <c r="B14" s="43"/>
      <c r="C14" s="43">
        <v>46105</v>
      </c>
      <c r="D14" s="43">
        <v>46129</v>
      </c>
      <c r="E14" s="37" t="s">
        <v>28</v>
      </c>
      <c r="F14" s="74">
        <v>100</v>
      </c>
      <c r="G14" s="37" t="s">
        <v>376</v>
      </c>
      <c r="H14" s="37" t="s">
        <v>377</v>
      </c>
    </row>
    <row r="15" spans="1:8" s="27" customFormat="1">
      <c r="A15" s="27" t="s">
        <v>378</v>
      </c>
      <c r="B15" s="28">
        <v>46119</v>
      </c>
      <c r="C15" s="28">
        <v>46177</v>
      </c>
      <c r="D15" s="28"/>
      <c r="E15" s="27" t="s">
        <v>195</v>
      </c>
      <c r="F15" s="27">
        <v>60</v>
      </c>
      <c r="G15" s="27" t="s">
        <v>379</v>
      </c>
    </row>
    <row r="16" spans="1:8" s="27" customFormat="1">
      <c r="A16" s="27" t="s">
        <v>380</v>
      </c>
      <c r="B16" s="28">
        <v>46136</v>
      </c>
      <c r="C16" s="28">
        <v>46178</v>
      </c>
      <c r="D16" s="28"/>
      <c r="E16" s="27" t="s">
        <v>195</v>
      </c>
      <c r="F16" s="27">
        <v>70</v>
      </c>
    </row>
    <row r="17" spans="1:7" s="27" customFormat="1">
      <c r="A17" s="27" t="s">
        <v>381</v>
      </c>
      <c r="B17" s="28">
        <v>46178</v>
      </c>
      <c r="C17" s="28">
        <v>46188</v>
      </c>
      <c r="D17" s="28"/>
      <c r="E17" s="27" t="s">
        <v>195</v>
      </c>
      <c r="F17" s="27">
        <v>80</v>
      </c>
    </row>
    <row r="18" spans="1:7" s="27" customFormat="1">
      <c r="A18" s="27" t="s">
        <v>200</v>
      </c>
      <c r="B18" s="28">
        <v>46119</v>
      </c>
      <c r="C18" s="28">
        <v>46188</v>
      </c>
      <c r="D18" s="28"/>
      <c r="E18" s="27" t="s">
        <v>195</v>
      </c>
      <c r="F18" s="27">
        <v>60</v>
      </c>
    </row>
    <row r="19" spans="1:7" s="27" customFormat="1">
      <c r="A19" s="27" t="s">
        <v>382</v>
      </c>
      <c r="B19" s="28">
        <v>46176</v>
      </c>
      <c r="C19" s="28">
        <v>46178</v>
      </c>
      <c r="E19" s="27" t="s">
        <v>383</v>
      </c>
      <c r="F19" s="27">
        <v>0</v>
      </c>
      <c r="G19" s="27" t="s">
        <v>384</v>
      </c>
    </row>
    <row r="20" spans="1:7" s="27" customFormat="1">
      <c r="A20" s="27" t="s">
        <v>385</v>
      </c>
      <c r="B20" s="28">
        <v>46178</v>
      </c>
      <c r="C20" s="28">
        <v>46183</v>
      </c>
      <c r="E20" s="27" t="s">
        <v>383</v>
      </c>
      <c r="F20" s="27">
        <v>0</v>
      </c>
      <c r="G20" s="27" t="s">
        <v>386</v>
      </c>
    </row>
    <row r="21" spans="1:7" s="27" customFormat="1">
      <c r="A21" s="27" t="s">
        <v>387</v>
      </c>
      <c r="B21" s="28">
        <v>46181</v>
      </c>
      <c r="C21" s="28">
        <v>46188</v>
      </c>
      <c r="E21" s="27" t="s">
        <v>383</v>
      </c>
    </row>
    <row r="22" spans="1:7"/>
    <row r="23" spans="1:7"/>
    <row r="24" spans="1:7"/>
    <row r="25" spans="1:7"/>
    <row r="26" spans="1:7"/>
    <row r="27" spans="1:7"/>
    <row r="28" spans="1:7"/>
    <row r="29" spans="1:7"/>
    <row r="30" spans="1:7"/>
    <row r="31" spans="1:7"/>
    <row r="32" spans="1:7"/>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sheetData>
  <dataValidations count="1">
    <dataValidation type="list" allowBlank="1" sqref="E22:F148 F2:F12 F15:F18 E2:E21" xr:uid="{00000000-0002-0000-0200-000000000000}">
      <formula1>"Not Started,In Progress,Completed,On Hold"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B29"/>
  <sheetViews>
    <sheetView workbookViewId="0">
      <pane ySplit="1" topLeftCell="A2" activePane="bottomLeft" state="frozen"/>
      <selection pane="bottomLeft" activeCell="B19" sqref="B19"/>
    </sheetView>
  </sheetViews>
  <sheetFormatPr defaultRowHeight="15" customHeight="1"/>
  <cols>
    <col min="1" max="1" width="40" customWidth="1"/>
    <col min="2" max="2" width="35" customWidth="1"/>
    <col min="13" max="13" width="24.85546875" customWidth="1"/>
    <col min="15" max="15" width="20.140625" customWidth="1"/>
    <col min="16" max="16" width="21.140625" customWidth="1"/>
    <col min="17" max="17" width="20.85546875" customWidth="1"/>
    <col min="18" max="18" width="18" customWidth="1"/>
    <col min="19" max="19" width="21" customWidth="1"/>
  </cols>
  <sheetData>
    <row r="1" spans="1:2">
      <c r="A1" s="18" t="s">
        <v>388</v>
      </c>
      <c r="B1" s="9" t="s">
        <v>389</v>
      </c>
    </row>
    <row r="2" spans="1:2" s="5" customFormat="1" ht="15" customHeight="1">
      <c r="A2" s="14" t="s">
        <v>390</v>
      </c>
      <c r="B2" s="15">
        <f>COUNTA(Tasks!A2:A481)</f>
        <v>148</v>
      </c>
    </row>
    <row r="3" spans="1:2" s="3" customFormat="1" ht="15" customHeight="1">
      <c r="A3" s="16" t="s">
        <v>391</v>
      </c>
      <c r="B3" s="16">
        <f>COUNTIFS(Tasks!J2:J481,"Completed")</f>
        <v>130</v>
      </c>
    </row>
    <row r="4" spans="1:2" s="3" customFormat="1" ht="15" customHeight="1">
      <c r="A4" s="16" t="s">
        <v>392</v>
      </c>
      <c r="B4" s="16">
        <f>COUNTIFS(Tasks!J2:J481,"In Progress")</f>
        <v>6</v>
      </c>
    </row>
    <row r="5" spans="1:2" s="3" customFormat="1" ht="15" customHeight="1">
      <c r="A5" s="16" t="s">
        <v>393</v>
      </c>
      <c r="B5" s="16">
        <f>COUNTIFS(Tasks!J2:J481,"Not Started")</f>
        <v>0</v>
      </c>
    </row>
    <row r="6" spans="1:2" s="3" customFormat="1" ht="15" customHeight="1">
      <c r="A6" s="16" t="s">
        <v>394</v>
      </c>
      <c r="B6" s="16">
        <f>COUNTIFS(Tasks!J2:J481,"On Hold")</f>
        <v>0</v>
      </c>
    </row>
    <row r="7" spans="1:2" s="3" customFormat="1" ht="15" customHeight="1">
      <c r="A7" s="16" t="s">
        <v>395</v>
      </c>
      <c r="B7" s="16">
        <f ca="1">COUNTIFS(Tasks!J2:J481,"&lt;&gt;Completed",Tasks!H2:H481,"&lt;"&amp;TODAY())</f>
        <v>11</v>
      </c>
    </row>
    <row r="8" spans="1:2" s="3" customFormat="1">
      <c r="A8" s="16" t="s">
        <v>396</v>
      </c>
      <c r="B8" s="17">
        <f>IF(B2=0,0,SUM(Tasks!K2:K481)/B2/100)</f>
        <v>0.69378378378378369</v>
      </c>
    </row>
    <row r="9" spans="1:2" s="3" customFormat="1" ht="15" customHeight="1"/>
    <row r="10" spans="1:2" s="3" customFormat="1" ht="15" customHeight="1"/>
    <row r="11" spans="1:2" s="3" customFormat="1" ht="15" customHeight="1"/>
    <row r="12" spans="1:2" s="3" customFormat="1" ht="15" customHeight="1"/>
    <row r="13" spans="1:2" s="3" customFormat="1" ht="15" customHeight="1"/>
    <row r="14" spans="1:2" s="3" customFormat="1" ht="15" customHeight="1"/>
    <row r="15" spans="1:2" s="3" customFormat="1" ht="15" customHeight="1"/>
    <row r="16" spans="1:2" s="3" customFormat="1" ht="15" customHeight="1"/>
    <row r="17" s="3" customFormat="1" ht="15" customHeight="1"/>
    <row r="18" s="3" customFormat="1" ht="15" customHeight="1"/>
    <row r="19" s="3" customFormat="1" ht="15" customHeight="1"/>
    <row r="20" s="3" customFormat="1" ht="15" customHeight="1"/>
    <row r="21" s="3" customFormat="1" ht="15" customHeight="1"/>
    <row r="22" s="3" customFormat="1" ht="15" customHeight="1"/>
    <row r="23" s="3" customFormat="1" ht="15" customHeight="1"/>
    <row r="24" s="3" customFormat="1" ht="15" customHeight="1"/>
    <row r="25" s="3" customFormat="1" ht="15" customHeight="1"/>
    <row r="26" s="3" customFormat="1" ht="15" customHeight="1"/>
    <row r="27" s="3" customFormat="1" ht="15" customHeight="1"/>
    <row r="28" s="3" customFormat="1" ht="15" customHeight="1"/>
    <row r="29" customFormat="1" ht="15" customHeight="1"/>
  </sheetData>
  <conditionalFormatting sqref="B7">
    <cfRule type="cellIs" dxfId="49" priority="1" stopIfTrue="1" operator="greaterThan">
      <formula>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I37"/>
  <sheetViews>
    <sheetView workbookViewId="0">
      <selection activeCell="C18" sqref="C18"/>
    </sheetView>
  </sheetViews>
  <sheetFormatPr defaultRowHeight="15"/>
  <cols>
    <col min="1" max="1" width="12.5703125" style="6" bestFit="1" customWidth="1"/>
    <col min="2" max="2" width="18.140625" customWidth="1"/>
    <col min="3" max="3" width="45.28515625" customWidth="1"/>
    <col min="4" max="4" width="29.85546875" customWidth="1"/>
    <col min="5" max="5" width="27.42578125" customWidth="1"/>
    <col min="6" max="6" width="21" customWidth="1"/>
    <col min="7" max="7" width="28.85546875" bestFit="1" customWidth="1"/>
    <col min="8" max="8" width="16.5703125" customWidth="1"/>
    <col min="9" max="9" width="25" style="3" customWidth="1"/>
  </cols>
  <sheetData>
    <row r="1" spans="1:9" s="4" customFormat="1">
      <c r="A1" s="20" t="s">
        <v>397</v>
      </c>
      <c r="B1" s="5" t="s">
        <v>398</v>
      </c>
      <c r="C1" s="5" t="s">
        <v>399</v>
      </c>
      <c r="D1" s="5" t="s">
        <v>400</v>
      </c>
      <c r="E1" s="5" t="s">
        <v>401</v>
      </c>
      <c r="F1" s="5" t="s">
        <v>402</v>
      </c>
      <c r="G1" s="5" t="s">
        <v>403</v>
      </c>
      <c r="H1" s="38" t="s">
        <v>404</v>
      </c>
      <c r="I1" s="5" t="s">
        <v>405</v>
      </c>
    </row>
    <row r="2" spans="1:9" s="4" customFormat="1">
      <c r="A2" s="10">
        <v>46059</v>
      </c>
      <c r="B2" s="3" t="s">
        <v>406</v>
      </c>
      <c r="C2" s="3" t="s">
        <v>407</v>
      </c>
      <c r="D2" s="3" t="s">
        <v>40</v>
      </c>
      <c r="E2" s="3"/>
      <c r="F2" s="3" t="s">
        <v>408</v>
      </c>
      <c r="G2" s="3" t="s">
        <v>122</v>
      </c>
      <c r="H2" s="39"/>
      <c r="I2" s="3" t="s">
        <v>409</v>
      </c>
    </row>
    <row r="3" spans="1:9" s="4" customFormat="1">
      <c r="A3" s="10">
        <v>46059</v>
      </c>
      <c r="B3" s="3" t="s">
        <v>406</v>
      </c>
      <c r="C3" s="3" t="s">
        <v>410</v>
      </c>
      <c r="D3" s="3" t="s">
        <v>411</v>
      </c>
      <c r="E3" s="3"/>
      <c r="F3" s="3" t="s">
        <v>408</v>
      </c>
      <c r="G3" s="3"/>
      <c r="H3" s="39"/>
      <c r="I3" s="5"/>
    </row>
    <row r="4" spans="1:9" s="4" customFormat="1">
      <c r="A4" s="10">
        <v>46071</v>
      </c>
      <c r="B4" s="3" t="s">
        <v>406</v>
      </c>
      <c r="C4" s="3" t="s">
        <v>412</v>
      </c>
      <c r="D4" s="3" t="s">
        <v>101</v>
      </c>
      <c r="E4" s="3" t="s">
        <v>413</v>
      </c>
      <c r="F4" s="3" t="s">
        <v>408</v>
      </c>
      <c r="G4" s="3" t="s">
        <v>101</v>
      </c>
      <c r="H4" s="40">
        <v>46075</v>
      </c>
      <c r="I4" s="5"/>
    </row>
    <row r="5" spans="1:9" s="4" customFormat="1">
      <c r="A5" s="21">
        <v>46071</v>
      </c>
      <c r="B5" s="13" t="s">
        <v>406</v>
      </c>
      <c r="C5" s="13" t="s">
        <v>414</v>
      </c>
      <c r="D5" s="13" t="s">
        <v>415</v>
      </c>
      <c r="E5" s="3" t="s">
        <v>413</v>
      </c>
      <c r="F5" s="3" t="s">
        <v>408</v>
      </c>
      <c r="G5" s="3" t="s">
        <v>122</v>
      </c>
      <c r="H5" s="40">
        <v>46077</v>
      </c>
      <c r="I5" s="5"/>
    </row>
    <row r="6" spans="1:9">
      <c r="A6" s="10">
        <v>46071</v>
      </c>
      <c r="B6" s="13" t="s">
        <v>406</v>
      </c>
      <c r="C6" s="13" t="s">
        <v>416</v>
      </c>
      <c r="D6" s="3" t="s">
        <v>415</v>
      </c>
      <c r="E6" s="3"/>
      <c r="F6" s="3" t="s">
        <v>408</v>
      </c>
      <c r="G6" s="3" t="s">
        <v>122</v>
      </c>
      <c r="H6" s="39"/>
    </row>
    <row r="7" spans="1:9">
      <c r="A7" s="10">
        <v>46078</v>
      </c>
      <c r="B7" s="13" t="s">
        <v>406</v>
      </c>
      <c r="C7" s="3" t="s">
        <v>417</v>
      </c>
      <c r="D7" s="13" t="s">
        <v>415</v>
      </c>
      <c r="E7" s="3"/>
      <c r="F7" s="3" t="s">
        <v>408</v>
      </c>
      <c r="G7" s="41" t="s">
        <v>122</v>
      </c>
      <c r="H7" s="39"/>
    </row>
    <row r="8" spans="1:9">
      <c r="A8" s="10">
        <v>46105</v>
      </c>
      <c r="B8" s="13" t="s">
        <v>406</v>
      </c>
      <c r="C8" s="3" t="s">
        <v>418</v>
      </c>
      <c r="D8" s="3" t="s">
        <v>122</v>
      </c>
      <c r="E8" s="3"/>
      <c r="F8" s="36" t="s">
        <v>419</v>
      </c>
      <c r="G8" s="3"/>
      <c r="H8" s="39"/>
      <c r="I8" s="3" t="s">
        <v>409</v>
      </c>
    </row>
    <row r="9" spans="1:9">
      <c r="A9" s="10">
        <v>46127</v>
      </c>
      <c r="B9" s="3" t="s">
        <v>420</v>
      </c>
      <c r="C9" s="3" t="s">
        <v>421</v>
      </c>
      <c r="D9" s="3"/>
      <c r="E9" s="3"/>
      <c r="F9" s="3"/>
      <c r="G9" s="3"/>
      <c r="H9" s="39"/>
    </row>
    <row r="10" spans="1:9">
      <c r="A10" s="10"/>
      <c r="B10" s="3"/>
      <c r="C10" s="3"/>
      <c r="D10" s="3"/>
      <c r="E10" s="3"/>
      <c r="F10" s="3"/>
      <c r="G10" s="3"/>
      <c r="H10" s="39"/>
    </row>
    <row r="11" spans="1:9">
      <c r="A11" s="10"/>
      <c r="B11" s="3"/>
      <c r="C11" s="3"/>
      <c r="D11" s="3"/>
      <c r="E11" s="3"/>
      <c r="F11" s="3"/>
      <c r="G11" s="3"/>
      <c r="H11" s="39"/>
    </row>
    <row r="12" spans="1:9" s="4" customFormat="1">
      <c r="A12" s="20"/>
      <c r="B12" s="5"/>
      <c r="C12" s="5"/>
      <c r="D12" s="5"/>
      <c r="E12" s="5"/>
      <c r="F12" s="5"/>
      <c r="G12" s="5"/>
      <c r="H12" s="38"/>
      <c r="I12" s="5"/>
    </row>
    <row r="13" spans="1:9" s="4" customFormat="1">
      <c r="A13" s="20"/>
      <c r="B13" s="5"/>
      <c r="C13" s="5"/>
      <c r="D13" s="5"/>
      <c r="E13" s="5"/>
      <c r="F13" s="5"/>
      <c r="G13" s="5"/>
      <c r="H13" s="38"/>
      <c r="I13" s="5"/>
    </row>
    <row r="14" spans="1:9" s="4" customFormat="1">
      <c r="A14" s="20"/>
      <c r="B14" s="5"/>
      <c r="C14" s="5"/>
      <c r="D14" s="5"/>
      <c r="E14" s="5"/>
      <c r="F14" s="5"/>
      <c r="G14" s="5"/>
      <c r="H14" s="38"/>
      <c r="I14" s="5"/>
    </row>
    <row r="15" spans="1:9" s="4" customFormat="1">
      <c r="A15" s="20"/>
      <c r="B15" s="5"/>
      <c r="C15" s="5"/>
      <c r="D15" s="5"/>
      <c r="E15" s="5"/>
      <c r="F15" s="5"/>
      <c r="G15" s="5"/>
      <c r="H15" s="38"/>
      <c r="I15" s="5"/>
    </row>
    <row r="16" spans="1:9" s="4" customFormat="1">
      <c r="A16" s="20"/>
      <c r="B16" s="5"/>
      <c r="C16" s="5"/>
      <c r="D16" s="5"/>
      <c r="E16" s="5"/>
      <c r="F16" s="5"/>
      <c r="G16" s="5"/>
      <c r="H16" s="38"/>
      <c r="I16" s="5"/>
    </row>
    <row r="17" spans="1:8">
      <c r="A17" s="10"/>
      <c r="B17" s="3"/>
      <c r="C17" s="3"/>
      <c r="D17" s="3"/>
      <c r="E17" s="3"/>
      <c r="F17" s="3"/>
      <c r="G17" s="3"/>
      <c r="H17" s="39"/>
    </row>
    <row r="18" spans="1:8">
      <c r="A18" s="10"/>
      <c r="B18" s="3"/>
      <c r="C18" s="3"/>
      <c r="D18" s="3"/>
      <c r="E18" s="3"/>
      <c r="F18" s="3"/>
      <c r="G18" s="3"/>
      <c r="H18" s="39"/>
    </row>
    <row r="19" spans="1:8">
      <c r="A19" s="10"/>
      <c r="B19" s="3"/>
      <c r="C19" s="3"/>
      <c r="D19" s="3"/>
      <c r="E19" s="3"/>
      <c r="F19" s="3"/>
      <c r="G19" s="3"/>
      <c r="H19" s="39"/>
    </row>
    <row r="20" spans="1:8">
      <c r="A20" s="10"/>
      <c r="B20" s="3"/>
      <c r="C20" s="3"/>
      <c r="D20" s="3"/>
      <c r="E20" s="3"/>
      <c r="F20" s="3"/>
      <c r="G20" s="3"/>
      <c r="H20" s="39"/>
    </row>
    <row r="21" spans="1:8">
      <c r="A21" s="10"/>
      <c r="B21" s="3"/>
      <c r="C21" s="3"/>
      <c r="D21" s="3"/>
      <c r="E21" s="3"/>
      <c r="F21" s="3"/>
      <c r="G21" s="3"/>
      <c r="H21" s="39"/>
    </row>
    <row r="22" spans="1:8">
      <c r="A22" s="10"/>
      <c r="B22" s="3"/>
      <c r="C22" s="3"/>
      <c r="D22" s="3"/>
      <c r="E22" s="3"/>
      <c r="F22" s="3"/>
      <c r="G22" s="3"/>
      <c r="H22" s="39"/>
    </row>
    <row r="23" spans="1:8">
      <c r="A23" s="10"/>
      <c r="B23" s="3"/>
      <c r="C23" s="3"/>
      <c r="D23" s="3"/>
      <c r="E23" s="3"/>
      <c r="F23" s="3"/>
      <c r="G23" s="3"/>
      <c r="H23" s="39"/>
    </row>
    <row r="24" spans="1:8">
      <c r="A24" s="10"/>
      <c r="B24" s="3"/>
      <c r="C24" s="3"/>
      <c r="D24" s="3"/>
      <c r="E24" s="3"/>
      <c r="F24" s="3"/>
      <c r="G24" s="3"/>
      <c r="H24" s="39"/>
    </row>
    <row r="25" spans="1:8">
      <c r="A25" s="10"/>
      <c r="B25" s="3"/>
      <c r="C25" s="3"/>
      <c r="D25" s="3"/>
      <c r="E25" s="3"/>
      <c r="F25" s="3"/>
      <c r="G25" s="3"/>
      <c r="H25" s="39"/>
    </row>
    <row r="26" spans="1:8">
      <c r="A26" s="10"/>
      <c r="B26" s="3"/>
      <c r="C26" s="3"/>
      <c r="D26" s="3"/>
      <c r="E26" s="3"/>
      <c r="F26" s="3"/>
      <c r="G26" s="3"/>
      <c r="H26" s="39"/>
    </row>
    <row r="27" spans="1:8">
      <c r="A27" s="10"/>
      <c r="B27" s="3"/>
      <c r="C27" s="3"/>
      <c r="D27" s="3"/>
      <c r="E27" s="3"/>
      <c r="F27" s="3"/>
      <c r="G27" s="3"/>
      <c r="H27" s="39"/>
    </row>
    <row r="28" spans="1:8">
      <c r="A28" s="10"/>
      <c r="B28" s="3"/>
      <c r="C28" s="3"/>
      <c r="D28" s="3"/>
      <c r="E28" s="3"/>
      <c r="F28" s="3"/>
      <c r="G28" s="3"/>
      <c r="H28" s="39"/>
    </row>
    <row r="29" spans="1:8">
      <c r="A29" s="10"/>
      <c r="B29" s="3"/>
      <c r="C29" s="3"/>
      <c r="D29" s="3"/>
      <c r="E29" s="3"/>
      <c r="F29" s="3"/>
      <c r="G29" s="3"/>
      <c r="H29" s="39"/>
    </row>
    <row r="30" spans="1:8">
      <c r="A30" s="10"/>
      <c r="B30" s="3"/>
      <c r="C30" s="3"/>
      <c r="D30" s="3"/>
      <c r="E30" s="3"/>
      <c r="F30" s="3"/>
      <c r="G30" s="3"/>
      <c r="H30" s="39"/>
    </row>
    <row r="31" spans="1:8">
      <c r="A31" s="10"/>
      <c r="B31" s="3"/>
      <c r="C31" s="3"/>
      <c r="D31" s="3"/>
      <c r="E31" s="3"/>
      <c r="F31" s="3"/>
      <c r="G31" s="3"/>
      <c r="H31" s="39"/>
    </row>
    <row r="32" spans="1:8">
      <c r="A32" s="10"/>
      <c r="B32" s="3"/>
      <c r="C32" s="3"/>
      <c r="D32" s="3"/>
      <c r="E32" s="3"/>
      <c r="F32" s="3"/>
      <c r="G32" s="3"/>
      <c r="H32" s="39"/>
    </row>
    <row r="33" spans="1:8">
      <c r="A33" s="10"/>
      <c r="B33" s="3"/>
      <c r="C33" s="3"/>
      <c r="D33" s="3"/>
      <c r="E33" s="3"/>
      <c r="F33" s="3"/>
      <c r="G33" s="3"/>
      <c r="H33" s="39"/>
    </row>
    <row r="34" spans="1:8">
      <c r="A34" s="10"/>
      <c r="B34" s="3"/>
      <c r="C34" s="3"/>
      <c r="D34" s="3"/>
      <c r="E34" s="3"/>
      <c r="F34" s="3"/>
      <c r="G34" s="3"/>
      <c r="H34" s="39"/>
    </row>
    <row r="35" spans="1:8">
      <c r="A35" s="10"/>
      <c r="B35" s="3"/>
      <c r="C35" s="3"/>
      <c r="D35" s="3"/>
      <c r="E35" s="3"/>
      <c r="F35" s="3"/>
      <c r="G35" s="3"/>
      <c r="H35" s="39"/>
    </row>
    <row r="36" spans="1:8">
      <c r="A36" s="10"/>
      <c r="B36" s="3"/>
      <c r="C36" s="3"/>
      <c r="D36" s="3"/>
      <c r="E36" s="3"/>
      <c r="F36" s="3"/>
      <c r="G36" s="3"/>
      <c r="H36" s="39"/>
    </row>
    <row r="37" spans="1:8">
      <c r="A37" s="10"/>
      <c r="B37" s="3"/>
      <c r="C37" s="3"/>
      <c r="D37" s="3"/>
      <c r="E37" s="3"/>
      <c r="F37" s="3"/>
      <c r="G37" s="3"/>
      <c r="H37" s="3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674E0-58A7-4418-BA5E-DB81755896E3}">
  <sheetPr>
    <tabColor rgb="FF92D050"/>
  </sheetPr>
  <dimension ref="A1:I14"/>
  <sheetViews>
    <sheetView workbookViewId="0">
      <selection activeCell="G9" sqref="G9"/>
    </sheetView>
  </sheetViews>
  <sheetFormatPr defaultRowHeight="15"/>
  <cols>
    <col min="1" max="1" width="14.85546875" style="10" customWidth="1"/>
    <col min="2" max="2" width="27.42578125" style="3" customWidth="1"/>
    <col min="3" max="3" width="56.5703125" style="3" customWidth="1"/>
    <col min="4" max="4" width="20.5703125" style="3" customWidth="1"/>
    <col min="5" max="5" width="12.140625" style="3" customWidth="1"/>
    <col min="6" max="6" width="9.140625" style="3"/>
    <col min="7" max="7" width="9.42578125" style="3" customWidth="1"/>
    <col min="8" max="8" width="16" style="3" customWidth="1"/>
    <col min="9" max="9" width="13.85546875" style="3" customWidth="1"/>
    <col min="10" max="16384" width="9.140625" style="3"/>
  </cols>
  <sheetData>
    <row r="1" spans="1:9" s="5" customFormat="1" ht="45.75">
      <c r="A1" s="20" t="s">
        <v>422</v>
      </c>
      <c r="B1" s="5" t="s">
        <v>423</v>
      </c>
      <c r="C1" s="5" t="s">
        <v>424</v>
      </c>
      <c r="D1" s="5" t="s">
        <v>425</v>
      </c>
      <c r="E1" s="5" t="s">
        <v>426</v>
      </c>
      <c r="F1" s="45" t="s">
        <v>427</v>
      </c>
      <c r="G1" s="45" t="s">
        <v>428</v>
      </c>
      <c r="H1" s="5" t="s">
        <v>429</v>
      </c>
      <c r="I1" s="5" t="s">
        <v>22</v>
      </c>
    </row>
    <row r="2" spans="1:9">
      <c r="A2" s="10">
        <v>46126</v>
      </c>
      <c r="B2" s="3" t="s">
        <v>71</v>
      </c>
      <c r="C2" s="3" t="s">
        <v>430</v>
      </c>
      <c r="D2" s="3" t="s">
        <v>150</v>
      </c>
      <c r="E2" s="3" t="s">
        <v>431</v>
      </c>
      <c r="F2" s="3" t="s">
        <v>408</v>
      </c>
      <c r="G2" s="3" t="s">
        <v>432</v>
      </c>
      <c r="H2" s="42">
        <v>46126</v>
      </c>
    </row>
    <row r="3" spans="1:9" ht="30.75">
      <c r="A3" s="10">
        <v>46126</v>
      </c>
      <c r="B3" s="3" t="s">
        <v>71</v>
      </c>
      <c r="C3" s="29" t="s">
        <v>287</v>
      </c>
      <c r="D3" s="3" t="s">
        <v>150</v>
      </c>
      <c r="E3" s="3" t="s">
        <v>431</v>
      </c>
      <c r="G3" s="3" t="s">
        <v>432</v>
      </c>
      <c r="H3" s="42">
        <v>46128</v>
      </c>
    </row>
    <row r="4" spans="1:9">
      <c r="A4" s="10">
        <v>46129</v>
      </c>
      <c r="B4" s="3" t="s">
        <v>71</v>
      </c>
      <c r="C4" s="3" t="s">
        <v>433</v>
      </c>
      <c r="D4" s="3" t="s">
        <v>150</v>
      </c>
    </row>
    <row r="5" spans="1:9">
      <c r="A5" s="10">
        <v>46129</v>
      </c>
      <c r="B5" s="3" t="s">
        <v>380</v>
      </c>
      <c r="C5" s="3" t="s">
        <v>434</v>
      </c>
    </row>
    <row r="6" spans="1:9">
      <c r="A6" s="10">
        <v>46129</v>
      </c>
      <c r="B6" s="3" t="s">
        <v>71</v>
      </c>
      <c r="C6" s="3" t="s">
        <v>435</v>
      </c>
      <c r="D6" s="3" t="s">
        <v>150</v>
      </c>
      <c r="E6" s="3" t="s">
        <v>195</v>
      </c>
    </row>
    <row r="7" spans="1:9">
      <c r="A7" s="10">
        <v>46129</v>
      </c>
      <c r="B7" s="3" t="s">
        <v>71</v>
      </c>
      <c r="C7" s="3" t="s">
        <v>436</v>
      </c>
      <c r="I7" s="3" t="s">
        <v>437</v>
      </c>
    </row>
    <row r="8" spans="1:9">
      <c r="B8" s="3" t="s">
        <v>438</v>
      </c>
    </row>
    <row r="9" spans="1:9">
      <c r="A9" s="10">
        <v>46136</v>
      </c>
      <c r="B9" s="3" t="s">
        <v>439</v>
      </c>
      <c r="C9" s="3" t="s">
        <v>440</v>
      </c>
      <c r="D9" s="3" t="s">
        <v>150</v>
      </c>
      <c r="E9" s="3" t="s">
        <v>431</v>
      </c>
      <c r="F9" s="3" t="s">
        <v>432</v>
      </c>
      <c r="G9" s="3" t="s">
        <v>432</v>
      </c>
      <c r="H9" s="42">
        <v>46139</v>
      </c>
    </row>
    <row r="10" spans="1:9">
      <c r="B10" s="3" t="s">
        <v>441</v>
      </c>
    </row>
    <row r="11" spans="1:9">
      <c r="B11" s="3" t="s">
        <v>442</v>
      </c>
    </row>
    <row r="12" spans="1:9">
      <c r="B12" s="3" t="s">
        <v>443</v>
      </c>
    </row>
    <row r="14" spans="1:9">
      <c r="A14" s="10">
        <v>46139</v>
      </c>
      <c r="B14" s="3" t="s">
        <v>170</v>
      </c>
      <c r="C14" s="3" t="s">
        <v>444</v>
      </c>
      <c r="D14" s="3" t="s">
        <v>445</v>
      </c>
      <c r="E14" s="3" t="s">
        <v>431</v>
      </c>
      <c r="F14" s="3" t="s">
        <v>408</v>
      </c>
      <c r="G14" s="3" t="s">
        <v>408</v>
      </c>
      <c r="H14" s="42">
        <v>46139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4"/>
  <sheetViews>
    <sheetView topLeftCell="A42" workbookViewId="0">
      <selection activeCell="E74" sqref="E74"/>
    </sheetView>
  </sheetViews>
  <sheetFormatPr defaultRowHeight="15"/>
  <cols>
    <col min="1" max="1" width="72.42578125" bestFit="1" customWidth="1"/>
    <col min="2" max="2" width="22.85546875" bestFit="1" customWidth="1"/>
    <col min="3" max="3" width="19.140625" style="6" bestFit="1" customWidth="1"/>
    <col min="4" max="4" width="15.5703125" style="6" bestFit="1" customWidth="1"/>
    <col min="5" max="5" width="43.7109375" bestFit="1" customWidth="1"/>
    <col min="6" max="6" width="16.28515625" bestFit="1" customWidth="1"/>
    <col min="7" max="7" width="10.140625" bestFit="1" customWidth="1"/>
    <col min="8" max="8" width="14.5703125" bestFit="1" customWidth="1"/>
    <col min="9" max="9" width="13.85546875" bestFit="1" customWidth="1"/>
  </cols>
  <sheetData>
    <row r="1" spans="1:10" s="3" customFormat="1">
      <c r="A1" s="5" t="s">
        <v>446</v>
      </c>
      <c r="B1" s="5" t="s">
        <v>400</v>
      </c>
      <c r="C1" s="20" t="s">
        <v>447</v>
      </c>
      <c r="D1" s="20" t="s">
        <v>448</v>
      </c>
      <c r="E1" s="5" t="s">
        <v>449</v>
      </c>
      <c r="F1" s="5" t="s">
        <v>450</v>
      </c>
      <c r="G1" s="5" t="s">
        <v>451</v>
      </c>
      <c r="H1" s="5" t="s">
        <v>452</v>
      </c>
      <c r="I1" s="5" t="s">
        <v>453</v>
      </c>
      <c r="J1" s="22"/>
    </row>
    <row r="2" spans="1:10" s="3" customFormat="1">
      <c r="A2" s="19" t="s">
        <v>454</v>
      </c>
      <c r="B2" s="3" t="s">
        <v>37</v>
      </c>
      <c r="C2" s="10">
        <v>46076</v>
      </c>
      <c r="D2" s="10">
        <v>46077</v>
      </c>
      <c r="E2" s="3" t="s">
        <v>431</v>
      </c>
      <c r="J2" s="22"/>
    </row>
    <row r="3" spans="1:10" s="3" customFormat="1">
      <c r="A3" s="3" t="s">
        <v>455</v>
      </c>
      <c r="B3" s="3" t="s">
        <v>101</v>
      </c>
      <c r="C3" s="10">
        <v>46076</v>
      </c>
      <c r="D3" s="10">
        <v>46079</v>
      </c>
      <c r="E3" s="3" t="s">
        <v>431</v>
      </c>
      <c r="J3" s="22"/>
    </row>
    <row r="4" spans="1:10" s="3" customFormat="1">
      <c r="A4" s="3" t="s">
        <v>456</v>
      </c>
      <c r="B4" s="3" t="s">
        <v>101</v>
      </c>
      <c r="C4" s="10">
        <v>46076</v>
      </c>
      <c r="D4" s="10">
        <v>46080</v>
      </c>
      <c r="E4" s="3" t="s">
        <v>431</v>
      </c>
      <c r="J4" s="22"/>
    </row>
    <row r="5" spans="1:10" s="3" customFormat="1">
      <c r="A5" s="3" t="s">
        <v>457</v>
      </c>
      <c r="B5" s="3" t="s">
        <v>101</v>
      </c>
      <c r="C5" s="10">
        <v>46076</v>
      </c>
      <c r="D5" s="10"/>
      <c r="E5" s="3" t="s">
        <v>458</v>
      </c>
      <c r="J5" s="22"/>
    </row>
    <row r="6" spans="1:10" s="3" customFormat="1">
      <c r="A6" s="3" t="s">
        <v>459</v>
      </c>
      <c r="C6" s="10"/>
      <c r="D6" s="10"/>
      <c r="E6" s="3" t="s">
        <v>460</v>
      </c>
      <c r="J6" s="22"/>
    </row>
    <row r="7" spans="1:10" s="3" customFormat="1">
      <c r="A7" s="3" t="s">
        <v>461</v>
      </c>
      <c r="C7" s="10"/>
      <c r="D7" s="10"/>
      <c r="E7" s="3" t="s">
        <v>460</v>
      </c>
      <c r="J7" s="22"/>
    </row>
    <row r="8" spans="1:10" s="3" customFormat="1">
      <c r="A8" s="3" t="s">
        <v>462</v>
      </c>
      <c r="C8" s="10"/>
      <c r="D8" s="10"/>
      <c r="E8" s="3" t="s">
        <v>460</v>
      </c>
      <c r="J8" s="22"/>
    </row>
    <row r="9" spans="1:10" s="3" customFormat="1">
      <c r="A9" s="3" t="s">
        <v>463</v>
      </c>
      <c r="C9" s="10"/>
      <c r="D9" s="10"/>
      <c r="E9" s="3" t="s">
        <v>460</v>
      </c>
      <c r="J9" s="22"/>
    </row>
    <row r="10" spans="1:10" s="3" customFormat="1">
      <c r="A10" s="3" t="s">
        <v>464</v>
      </c>
      <c r="C10" s="10"/>
      <c r="D10" s="10"/>
      <c r="E10" s="3" t="s">
        <v>460</v>
      </c>
      <c r="J10" s="22"/>
    </row>
    <row r="11" spans="1:10" s="3" customFormat="1">
      <c r="A11" s="3" t="s">
        <v>465</v>
      </c>
      <c r="C11" s="10"/>
      <c r="D11" s="10"/>
      <c r="E11" s="3" t="s">
        <v>460</v>
      </c>
      <c r="J11" s="22"/>
    </row>
    <row r="12" spans="1:10" s="3" customFormat="1">
      <c r="A12" s="3" t="s">
        <v>466</v>
      </c>
      <c r="C12" s="10"/>
      <c r="D12" s="10"/>
      <c r="E12" s="3" t="s">
        <v>460</v>
      </c>
      <c r="J12" s="22"/>
    </row>
    <row r="13" spans="1:10" s="3" customFormat="1">
      <c r="A13" s="3" t="s">
        <v>467</v>
      </c>
      <c r="C13" s="10"/>
      <c r="D13" s="10"/>
      <c r="E13" s="3" t="s">
        <v>460</v>
      </c>
      <c r="J13" s="22"/>
    </row>
    <row r="14" spans="1:10" s="3" customFormat="1">
      <c r="A14" s="3" t="s">
        <v>468</v>
      </c>
      <c r="C14" s="10"/>
      <c r="D14" s="10"/>
      <c r="E14" s="3" t="s">
        <v>460</v>
      </c>
      <c r="J14" s="22"/>
    </row>
    <row r="15" spans="1:10" s="3" customFormat="1">
      <c r="A15" s="3" t="s">
        <v>469</v>
      </c>
      <c r="C15" s="10"/>
      <c r="D15" s="10"/>
      <c r="E15" s="3" t="s">
        <v>460</v>
      </c>
      <c r="J15" s="22"/>
    </row>
    <row r="16" spans="1:10" s="3" customFormat="1">
      <c r="A16" s="3" t="s">
        <v>470</v>
      </c>
      <c r="C16" s="10"/>
      <c r="D16" s="10"/>
      <c r="E16" s="3" t="s">
        <v>460</v>
      </c>
      <c r="J16" s="22"/>
    </row>
    <row r="17" spans="1:9" s="3" customFormat="1">
      <c r="A17" s="25" t="s">
        <v>471</v>
      </c>
      <c r="B17" s="25" t="s">
        <v>95</v>
      </c>
      <c r="C17" s="26">
        <v>46065</v>
      </c>
      <c r="D17" s="26">
        <v>46066</v>
      </c>
      <c r="E17" s="25" t="s">
        <v>431</v>
      </c>
      <c r="F17" s="25"/>
      <c r="G17" s="25"/>
      <c r="H17" s="25"/>
      <c r="I17" s="25"/>
    </row>
    <row r="18" spans="1:9" s="3" customFormat="1">
      <c r="A18" s="3" t="s">
        <v>472</v>
      </c>
      <c r="B18" s="3" t="s">
        <v>473</v>
      </c>
      <c r="C18" s="10">
        <v>46065</v>
      </c>
      <c r="D18" s="26">
        <v>46066</v>
      </c>
      <c r="E18" s="3" t="s">
        <v>431</v>
      </c>
    </row>
    <row r="19" spans="1:9" s="3" customFormat="1">
      <c r="A19" s="3" t="s">
        <v>474</v>
      </c>
      <c r="B19" s="3" t="s">
        <v>118</v>
      </c>
      <c r="C19" s="10">
        <v>46070</v>
      </c>
      <c r="D19" s="10">
        <v>46073</v>
      </c>
      <c r="E19" s="3" t="s">
        <v>431</v>
      </c>
    </row>
    <row r="20" spans="1:9" s="3" customFormat="1">
      <c r="A20" s="3" t="s">
        <v>475</v>
      </c>
      <c r="B20" s="3" t="s">
        <v>118</v>
      </c>
      <c r="C20" s="10">
        <v>46070</v>
      </c>
      <c r="D20" s="10">
        <v>46073</v>
      </c>
      <c r="E20" s="3" t="s">
        <v>431</v>
      </c>
    </row>
    <row r="21" spans="1:9" s="3" customFormat="1">
      <c r="A21" s="3" t="s">
        <v>476</v>
      </c>
      <c r="B21" s="3" t="s">
        <v>118</v>
      </c>
      <c r="C21" s="10">
        <v>46076</v>
      </c>
      <c r="D21" s="10"/>
      <c r="E21" s="3" t="s">
        <v>477</v>
      </c>
    </row>
    <row r="22" spans="1:9" s="3" customFormat="1">
      <c r="A22" s="3" t="s">
        <v>478</v>
      </c>
      <c r="B22" s="3" t="s">
        <v>479</v>
      </c>
      <c r="C22" s="10"/>
      <c r="D22" s="10"/>
      <c r="E22" s="3" t="s">
        <v>458</v>
      </c>
      <c r="F22" s="3" t="s">
        <v>480</v>
      </c>
    </row>
    <row r="23" spans="1:9" s="3" customFormat="1">
      <c r="A23" s="3" t="s">
        <v>481</v>
      </c>
      <c r="B23" s="3" t="s">
        <v>479</v>
      </c>
      <c r="C23" s="10"/>
      <c r="D23" s="10"/>
      <c r="E23" s="3" t="s">
        <v>431</v>
      </c>
    </row>
    <row r="24" spans="1:9" s="3" customFormat="1">
      <c r="A24" s="3" t="s">
        <v>482</v>
      </c>
      <c r="B24" s="3" t="s">
        <v>37</v>
      </c>
      <c r="C24" s="10"/>
      <c r="D24" s="10"/>
      <c r="E24" s="3" t="s">
        <v>431</v>
      </c>
    </row>
    <row r="25" spans="1:9" s="3" customFormat="1">
      <c r="A25" s="3" t="s">
        <v>483</v>
      </c>
      <c r="B25" s="3" t="s">
        <v>484</v>
      </c>
      <c r="C25" s="10"/>
      <c r="D25" s="10"/>
      <c r="E25" s="3" t="s">
        <v>431</v>
      </c>
    </row>
    <row r="26" spans="1:9" s="3" customFormat="1">
      <c r="A26" s="3" t="s">
        <v>485</v>
      </c>
      <c r="B26" s="3" t="s">
        <v>37</v>
      </c>
      <c r="C26" s="10"/>
      <c r="D26" s="10"/>
      <c r="E26" s="3" t="s">
        <v>458</v>
      </c>
      <c r="F26" s="3" t="s">
        <v>480</v>
      </c>
    </row>
    <row r="27" spans="1:9" s="3" customFormat="1">
      <c r="A27" s="3" t="s">
        <v>486</v>
      </c>
      <c r="B27" s="3" t="s">
        <v>484</v>
      </c>
      <c r="C27" s="10"/>
      <c r="D27" s="10"/>
      <c r="E27" s="3" t="s">
        <v>458</v>
      </c>
      <c r="F27" s="3" t="s">
        <v>480</v>
      </c>
    </row>
    <row r="28" spans="1:9" s="3" customFormat="1">
      <c r="A28" s="3" t="s">
        <v>487</v>
      </c>
      <c r="B28" s="3" t="s">
        <v>37</v>
      </c>
      <c r="C28" s="10"/>
      <c r="D28" s="10"/>
      <c r="E28" s="3" t="s">
        <v>458</v>
      </c>
      <c r="F28" s="3" t="s">
        <v>480</v>
      </c>
    </row>
    <row r="29" spans="1:9" s="23" customFormat="1">
      <c r="A29" s="23" t="s">
        <v>488</v>
      </c>
      <c r="B29" s="23" t="s">
        <v>484</v>
      </c>
      <c r="C29" s="24"/>
      <c r="D29" s="24"/>
      <c r="E29" s="3" t="s">
        <v>458</v>
      </c>
      <c r="F29" s="3" t="s">
        <v>480</v>
      </c>
    </row>
    <row r="30" spans="1:9" s="3" customFormat="1">
      <c r="A30" s="3" t="s">
        <v>489</v>
      </c>
      <c r="B30" s="3" t="s">
        <v>101</v>
      </c>
      <c r="C30" s="12">
        <v>46080</v>
      </c>
      <c r="D30" s="12">
        <v>46084</v>
      </c>
      <c r="E30" s="23" t="s">
        <v>431</v>
      </c>
      <c r="F30" s="3" t="s">
        <v>480</v>
      </c>
    </row>
    <row r="31" spans="1:9" s="3" customFormat="1">
      <c r="A31" s="3" t="s">
        <v>490</v>
      </c>
      <c r="B31" s="3" t="s">
        <v>101</v>
      </c>
      <c r="C31" s="10">
        <v>46080</v>
      </c>
      <c r="D31" s="12">
        <v>46084</v>
      </c>
      <c r="E31" s="23" t="s">
        <v>431</v>
      </c>
      <c r="F31" s="3" t="s">
        <v>480</v>
      </c>
    </row>
    <row r="32" spans="1:9" s="3" customFormat="1">
      <c r="A32" s="3" t="s">
        <v>491</v>
      </c>
      <c r="B32" s="3" t="s">
        <v>101</v>
      </c>
      <c r="C32" s="10">
        <v>46080</v>
      </c>
      <c r="D32" s="12">
        <v>46084</v>
      </c>
      <c r="E32" s="23" t="s">
        <v>431</v>
      </c>
      <c r="F32" s="3" t="s">
        <v>480</v>
      </c>
    </row>
    <row r="33" spans="1:6" s="3" customFormat="1">
      <c r="A33" s="3" t="s">
        <v>492</v>
      </c>
      <c r="B33" s="3" t="s">
        <v>479</v>
      </c>
      <c r="C33" s="10">
        <v>46080</v>
      </c>
      <c r="D33" s="12">
        <v>46084</v>
      </c>
      <c r="E33" s="23" t="s">
        <v>431</v>
      </c>
      <c r="F33" s="3" t="s">
        <v>480</v>
      </c>
    </row>
    <row r="34" spans="1:6" s="3" customFormat="1">
      <c r="A34" s="3" t="s">
        <v>493</v>
      </c>
      <c r="B34" s="3" t="s">
        <v>101</v>
      </c>
      <c r="C34" s="10">
        <v>46080</v>
      </c>
      <c r="D34" s="12">
        <v>46084</v>
      </c>
      <c r="E34" s="23" t="s">
        <v>431</v>
      </c>
      <c r="F34" s="3" t="s">
        <v>480</v>
      </c>
    </row>
    <row r="35" spans="1:6" s="3" customFormat="1">
      <c r="A35" s="3" t="s">
        <v>494</v>
      </c>
      <c r="B35" s="3" t="s">
        <v>37</v>
      </c>
      <c r="C35" s="10">
        <v>46080</v>
      </c>
      <c r="D35" s="12">
        <v>46084</v>
      </c>
      <c r="E35" s="23" t="s">
        <v>431</v>
      </c>
      <c r="F35" s="3" t="s">
        <v>480</v>
      </c>
    </row>
    <row r="36" spans="1:6" s="3" customFormat="1">
      <c r="A36" s="3" t="s">
        <v>495</v>
      </c>
      <c r="B36" s="3" t="s">
        <v>37</v>
      </c>
      <c r="C36" s="10">
        <v>46080</v>
      </c>
      <c r="D36" s="12">
        <v>46084</v>
      </c>
      <c r="E36" s="23" t="s">
        <v>431</v>
      </c>
      <c r="F36" s="3" t="s">
        <v>480</v>
      </c>
    </row>
    <row r="37" spans="1:6" s="3" customFormat="1">
      <c r="A37" s="3" t="s">
        <v>496</v>
      </c>
      <c r="B37" s="3" t="s">
        <v>484</v>
      </c>
      <c r="C37" s="10">
        <v>46080</v>
      </c>
      <c r="D37" s="12">
        <v>46084</v>
      </c>
      <c r="E37" s="23" t="s">
        <v>431</v>
      </c>
      <c r="F37" s="3" t="s">
        <v>480</v>
      </c>
    </row>
    <row r="38" spans="1:6" s="3" customFormat="1">
      <c r="A38" s="3" t="s">
        <v>497</v>
      </c>
      <c r="B38" s="3" t="s">
        <v>484</v>
      </c>
      <c r="C38" s="10">
        <v>46085</v>
      </c>
      <c r="D38" s="10">
        <v>46087</v>
      </c>
      <c r="E38" s="23" t="s">
        <v>431</v>
      </c>
      <c r="F38" s="3" t="s">
        <v>480</v>
      </c>
    </row>
    <row r="39" spans="1:6" s="3" customFormat="1">
      <c r="A39" s="3" t="s">
        <v>498</v>
      </c>
      <c r="B39" s="3" t="s">
        <v>479</v>
      </c>
      <c r="C39" s="10">
        <v>46085</v>
      </c>
      <c r="D39" s="10">
        <v>46087</v>
      </c>
      <c r="E39" s="23" t="s">
        <v>431</v>
      </c>
      <c r="F39" s="3" t="s">
        <v>480</v>
      </c>
    </row>
    <row r="40" spans="1:6" s="3" customFormat="1">
      <c r="A40" s="3" t="s">
        <v>499</v>
      </c>
      <c r="B40" s="3" t="s">
        <v>484</v>
      </c>
      <c r="C40" s="10">
        <v>46085</v>
      </c>
      <c r="D40" s="10">
        <v>46087</v>
      </c>
      <c r="E40" s="23" t="s">
        <v>431</v>
      </c>
      <c r="F40" s="3" t="s">
        <v>480</v>
      </c>
    </row>
    <row r="41" spans="1:6" s="3" customFormat="1">
      <c r="A41" s="3" t="s">
        <v>500</v>
      </c>
      <c r="B41" s="3" t="s">
        <v>484</v>
      </c>
      <c r="C41" s="10">
        <v>46090</v>
      </c>
      <c r="D41" s="10">
        <v>46091</v>
      </c>
      <c r="E41" s="23" t="s">
        <v>431</v>
      </c>
    </row>
    <row r="42" spans="1:6" s="3" customFormat="1">
      <c r="A42" s="3" t="s">
        <v>501</v>
      </c>
      <c r="B42" s="3" t="s">
        <v>484</v>
      </c>
      <c r="C42" s="10">
        <v>46090</v>
      </c>
      <c r="D42" s="10">
        <v>46091</v>
      </c>
      <c r="E42" s="23" t="s">
        <v>431</v>
      </c>
    </row>
    <row r="43" spans="1:6" s="3" customFormat="1">
      <c r="A43" s="3" t="s">
        <v>502</v>
      </c>
      <c r="B43" s="3" t="s">
        <v>484</v>
      </c>
      <c r="C43" s="10">
        <v>46090</v>
      </c>
      <c r="D43" s="10">
        <v>46091</v>
      </c>
      <c r="E43" s="23" t="s">
        <v>431</v>
      </c>
    </row>
    <row r="44" spans="1:6" s="3" customFormat="1">
      <c r="A44" s="11" t="s">
        <v>503</v>
      </c>
      <c r="B44" s="3" t="s">
        <v>479</v>
      </c>
      <c r="C44" s="10">
        <v>46091</v>
      </c>
      <c r="D44" s="10">
        <v>46094</v>
      </c>
      <c r="E44" s="23" t="s">
        <v>458</v>
      </c>
    </row>
    <row r="45" spans="1:6" s="3" customFormat="1">
      <c r="A45" s="11" t="s">
        <v>504</v>
      </c>
      <c r="B45" s="3" t="s">
        <v>479</v>
      </c>
      <c r="C45" s="10">
        <v>46091</v>
      </c>
      <c r="D45" s="10">
        <v>46094</v>
      </c>
      <c r="E45" s="23" t="s">
        <v>458</v>
      </c>
    </row>
    <row r="46" spans="1:6" s="3" customFormat="1">
      <c r="A46" s="11" t="s">
        <v>505</v>
      </c>
      <c r="B46" s="3" t="s">
        <v>484</v>
      </c>
      <c r="C46" s="10">
        <v>46091</v>
      </c>
      <c r="D46" s="10">
        <v>46094</v>
      </c>
      <c r="E46" s="23" t="s">
        <v>458</v>
      </c>
    </row>
    <row r="47" spans="1:6" s="3" customFormat="1">
      <c r="A47" s="3" t="s">
        <v>506</v>
      </c>
      <c r="B47" s="3" t="s">
        <v>95</v>
      </c>
      <c r="C47" s="10">
        <v>46083</v>
      </c>
      <c r="D47" s="10">
        <v>46090</v>
      </c>
      <c r="E47" s="23"/>
    </row>
    <row r="48" spans="1:6" s="3" customFormat="1">
      <c r="A48" s="29" t="s">
        <v>507</v>
      </c>
      <c r="B48" s="3" t="s">
        <v>37</v>
      </c>
      <c r="C48" s="10">
        <v>46090</v>
      </c>
      <c r="D48" s="10">
        <v>46092</v>
      </c>
      <c r="E48" s="23" t="s">
        <v>458</v>
      </c>
    </row>
    <row r="49" spans="1:5" s="3" customFormat="1">
      <c r="A49" s="30" t="s">
        <v>508</v>
      </c>
      <c r="B49" s="3" t="s">
        <v>37</v>
      </c>
      <c r="C49" s="10">
        <v>46090</v>
      </c>
      <c r="D49" s="10">
        <v>46092</v>
      </c>
      <c r="E49" s="23" t="s">
        <v>458</v>
      </c>
    </row>
    <row r="50" spans="1:5" s="3" customFormat="1">
      <c r="A50" s="11" t="s">
        <v>509</v>
      </c>
      <c r="B50" s="3" t="s">
        <v>101</v>
      </c>
      <c r="C50" s="12">
        <v>46091</v>
      </c>
      <c r="D50" s="12">
        <v>46094</v>
      </c>
      <c r="E50" s="23" t="s">
        <v>458</v>
      </c>
    </row>
    <row r="51" spans="1:5" s="3" customFormat="1">
      <c r="A51" s="11" t="s">
        <v>510</v>
      </c>
      <c r="B51" s="3" t="s">
        <v>101</v>
      </c>
      <c r="C51" s="12">
        <v>46091</v>
      </c>
      <c r="D51" s="12">
        <v>46094</v>
      </c>
      <c r="E51" s="23" t="s">
        <v>458</v>
      </c>
    </row>
    <row r="52" spans="1:5" s="3" customFormat="1">
      <c r="A52" s="11" t="s">
        <v>511</v>
      </c>
      <c r="B52" s="3" t="s">
        <v>101</v>
      </c>
      <c r="C52" s="12">
        <v>46091</v>
      </c>
      <c r="D52" s="12">
        <v>46094</v>
      </c>
      <c r="E52" s="23" t="s">
        <v>458</v>
      </c>
    </row>
    <row r="53" spans="1:5" s="3" customFormat="1">
      <c r="A53" s="3" t="s">
        <v>512</v>
      </c>
      <c r="B53" s="3" t="s">
        <v>37</v>
      </c>
      <c r="C53" s="10">
        <v>46119</v>
      </c>
      <c r="D53" s="10">
        <v>46120</v>
      </c>
      <c r="E53" s="3" t="s">
        <v>431</v>
      </c>
    </row>
    <row r="54" spans="1:5" s="3" customFormat="1">
      <c r="A54" s="3" t="s">
        <v>513</v>
      </c>
      <c r="B54" s="3" t="s">
        <v>37</v>
      </c>
      <c r="C54" s="10">
        <v>46119</v>
      </c>
      <c r="D54" s="10">
        <v>46120</v>
      </c>
      <c r="E54" s="3" t="s">
        <v>431</v>
      </c>
    </row>
    <row r="55" spans="1:5" s="3" customFormat="1">
      <c r="A55" s="3" t="s">
        <v>514</v>
      </c>
      <c r="B55" s="3" t="s">
        <v>37</v>
      </c>
      <c r="C55" s="10">
        <v>46122</v>
      </c>
      <c r="D55" s="10">
        <v>46126</v>
      </c>
      <c r="E55" s="3" t="s">
        <v>431</v>
      </c>
    </row>
    <row r="56" spans="1:5" s="3" customFormat="1">
      <c r="C56" s="10"/>
      <c r="D56" s="10"/>
    </row>
    <row r="57" spans="1:5" s="3" customFormat="1">
      <c r="C57" s="10"/>
      <c r="D57" s="10"/>
    </row>
    <row r="58" spans="1:5" s="3" customFormat="1">
      <c r="C58" s="10"/>
      <c r="D58" s="10"/>
    </row>
    <row r="59" spans="1:5" s="3" customFormat="1">
      <c r="C59" s="10"/>
      <c r="D59" s="10"/>
    </row>
    <row r="60" spans="1:5" s="3" customFormat="1">
      <c r="C60" s="10"/>
      <c r="D60" s="10"/>
    </row>
    <row r="61" spans="1:5" s="3" customFormat="1">
      <c r="C61" s="10"/>
      <c r="D61" s="10"/>
    </row>
    <row r="62" spans="1:5" s="3" customFormat="1">
      <c r="C62" s="10"/>
      <c r="D62" s="10"/>
    </row>
    <row r="63" spans="1:5" s="3" customFormat="1">
      <c r="C63" s="10"/>
      <c r="D63" s="10"/>
    </row>
    <row r="64" spans="1:5" s="3" customFormat="1">
      <c r="C64" s="10"/>
      <c r="D64" s="10"/>
    </row>
  </sheetData>
  <autoFilter ref="B1:B66" xr:uid="{00000000-0001-0000-0600-000000000000}"/>
  <conditionalFormatting sqref="C30:D30">
    <cfRule type="expression" dxfId="48" priority="45">
      <formula>$I30="Completed"</formula>
    </cfRule>
    <cfRule type="expression" dxfId="47" priority="46">
      <formula>$I30="In Progress"</formula>
    </cfRule>
    <cfRule type="expression" dxfId="46" priority="47">
      <formula>$I30="Not Started"</formula>
    </cfRule>
    <cfRule type="expression" dxfId="45" priority="48">
      <formula>$I30="On Hold"</formula>
    </cfRule>
  </conditionalFormatting>
  <conditionalFormatting sqref="D31">
    <cfRule type="expression" dxfId="44" priority="41">
      <formula>$I31="Completed"</formula>
    </cfRule>
    <cfRule type="expression" dxfId="43" priority="42">
      <formula>$I31="In Progress"</formula>
    </cfRule>
    <cfRule type="expression" dxfId="42" priority="43">
      <formula>$I31="Not Started"</formula>
    </cfRule>
    <cfRule type="expression" dxfId="41" priority="44">
      <formula>$I31="On Hold"</formula>
    </cfRule>
  </conditionalFormatting>
  <conditionalFormatting sqref="D32">
    <cfRule type="expression" dxfId="40" priority="37">
      <formula>$I32="Completed"</formula>
    </cfRule>
    <cfRule type="expression" dxfId="39" priority="38">
      <formula>$I32="In Progress"</formula>
    </cfRule>
    <cfRule type="expression" dxfId="38" priority="39">
      <formula>$I32="Not Started"</formula>
    </cfRule>
    <cfRule type="expression" dxfId="37" priority="40">
      <formula>$I32="On Hold"</formula>
    </cfRule>
  </conditionalFormatting>
  <conditionalFormatting sqref="D33">
    <cfRule type="expression" dxfId="36" priority="33">
      <formula>$I33="Completed"</formula>
    </cfRule>
    <cfRule type="expression" dxfId="35" priority="34">
      <formula>$I33="In Progress"</formula>
    </cfRule>
    <cfRule type="expression" dxfId="34" priority="35">
      <formula>$I33="Not Started"</formula>
    </cfRule>
    <cfRule type="expression" dxfId="33" priority="36">
      <formula>$I33="On Hold"</formula>
    </cfRule>
  </conditionalFormatting>
  <conditionalFormatting sqref="D34">
    <cfRule type="expression" dxfId="32" priority="29">
      <formula>$I34="Completed"</formula>
    </cfRule>
    <cfRule type="expression" dxfId="31" priority="30">
      <formula>$I34="In Progress"</formula>
    </cfRule>
    <cfRule type="expression" dxfId="30" priority="31">
      <formula>$I34="Not Started"</formula>
    </cfRule>
    <cfRule type="expression" dxfId="29" priority="32">
      <formula>$I34="On Hold"</formula>
    </cfRule>
  </conditionalFormatting>
  <conditionalFormatting sqref="D35">
    <cfRule type="expression" dxfId="28" priority="25">
      <formula>$I35="Completed"</formula>
    </cfRule>
    <cfRule type="expression" dxfId="27" priority="26">
      <formula>$I35="In Progress"</formula>
    </cfRule>
    <cfRule type="expression" dxfId="26" priority="27">
      <formula>$I35="Not Started"</formula>
    </cfRule>
    <cfRule type="expression" dxfId="25" priority="28">
      <formula>$I35="On Hold"</formula>
    </cfRule>
  </conditionalFormatting>
  <conditionalFormatting sqref="D36">
    <cfRule type="expression" dxfId="24" priority="21">
      <formula>$I36="Completed"</formula>
    </cfRule>
    <cfRule type="expression" dxfId="23" priority="22">
      <formula>$I36="In Progress"</formula>
    </cfRule>
    <cfRule type="expression" dxfId="22" priority="23">
      <formula>$I36="Not Started"</formula>
    </cfRule>
    <cfRule type="expression" dxfId="21" priority="24">
      <formula>$I36="On Hold"</formula>
    </cfRule>
  </conditionalFormatting>
  <conditionalFormatting sqref="D37">
    <cfRule type="expression" dxfId="20" priority="17">
      <formula>$I37="Completed"</formula>
    </cfRule>
    <cfRule type="expression" dxfId="19" priority="18">
      <formula>$I37="In Progress"</formula>
    </cfRule>
    <cfRule type="expression" dxfId="18" priority="19">
      <formula>$I37="Not Started"</formula>
    </cfRule>
    <cfRule type="expression" dxfId="17" priority="20">
      <formula>$I37="On Hold"</formula>
    </cfRule>
  </conditionalFormatting>
  <conditionalFormatting sqref="A44">
    <cfRule type="expression" dxfId="16" priority="13">
      <formula>$J44="Completed"</formula>
    </cfRule>
    <cfRule type="expression" dxfId="15" priority="14">
      <formula>$J44="In Progress"</formula>
    </cfRule>
    <cfRule type="expression" dxfId="14" priority="15">
      <formula>$J44="Not Started"</formula>
    </cfRule>
    <cfRule type="expression" dxfId="13" priority="16">
      <formula>$J44="On Hold"</formula>
    </cfRule>
  </conditionalFormatting>
  <conditionalFormatting sqref="A45">
    <cfRule type="expression" dxfId="12" priority="9">
      <formula>$J45="Completed"</formula>
    </cfRule>
    <cfRule type="expression" dxfId="11" priority="10">
      <formula>$J45="In Progress"</formula>
    </cfRule>
    <cfRule type="expression" dxfId="10" priority="11">
      <formula>$J45="Not Started"</formula>
    </cfRule>
    <cfRule type="expression" dxfId="9" priority="12">
      <formula>$J45="On Hold"</formula>
    </cfRule>
  </conditionalFormatting>
  <conditionalFormatting sqref="A46">
    <cfRule type="expression" dxfId="8" priority="5">
      <formula>$J46="Completed"</formula>
    </cfRule>
    <cfRule type="expression" dxfId="7" priority="6">
      <formula>$J46="In Progress"</formula>
    </cfRule>
    <cfRule type="expression" dxfId="6" priority="7">
      <formula>$J46="Not Started"</formula>
    </cfRule>
    <cfRule type="expression" dxfId="5" priority="8">
      <formula>$J46="On Hold"</formula>
    </cfRule>
  </conditionalFormatting>
  <conditionalFormatting sqref="A50:A52">
    <cfRule type="expression" dxfId="4" priority="1">
      <formula>$J50="Completed"</formula>
    </cfRule>
    <cfRule type="expression" dxfId="3" priority="2">
      <formula>$J50="In Progress"</formula>
    </cfRule>
    <cfRule type="expression" dxfId="2" priority="3">
      <formula>$J50="Not Started"</formula>
    </cfRule>
    <cfRule type="expression" dxfId="1" priority="4">
      <formula>$J50="On Hold"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9AB8-FAF3-4443-B95A-25DD9DF71DDA}">
  <dimension ref="A1:I9"/>
  <sheetViews>
    <sheetView workbookViewId="0">
      <selection activeCell="E22" sqref="E22"/>
    </sheetView>
  </sheetViews>
  <sheetFormatPr defaultRowHeight="15"/>
  <cols>
    <col min="1" max="1" width="15.5703125" bestFit="1" customWidth="1"/>
    <col min="2" max="3" width="12.5703125" bestFit="1" customWidth="1"/>
    <col min="4" max="4" width="7.42578125" bestFit="1" customWidth="1"/>
    <col min="5" max="5" width="12.5703125" bestFit="1" customWidth="1"/>
    <col min="6" max="6" width="17.85546875" customWidth="1"/>
    <col min="7" max="7" width="12.5703125" bestFit="1" customWidth="1"/>
  </cols>
  <sheetData>
    <row r="1" spans="1:9" s="3" customFormat="1">
      <c r="A1" s="5" t="s">
        <v>515</v>
      </c>
      <c r="B1" s="5" t="s">
        <v>516</v>
      </c>
      <c r="C1" s="5" t="s">
        <v>517</v>
      </c>
      <c r="D1" s="5" t="s">
        <v>518</v>
      </c>
      <c r="E1" s="5" t="s">
        <v>519</v>
      </c>
      <c r="F1" s="5" t="s">
        <v>520</v>
      </c>
      <c r="G1" s="5" t="s">
        <v>521</v>
      </c>
      <c r="H1" s="5"/>
      <c r="I1" s="5"/>
    </row>
    <row r="2" spans="1:9" s="3" customFormat="1">
      <c r="A2" s="3" t="s">
        <v>522</v>
      </c>
      <c r="B2" s="3" t="s">
        <v>523</v>
      </c>
      <c r="C2" s="3" t="s">
        <v>523</v>
      </c>
      <c r="D2" s="3" t="s">
        <v>524</v>
      </c>
      <c r="E2" s="3" t="s">
        <v>524</v>
      </c>
      <c r="F2" s="3" t="s">
        <v>523</v>
      </c>
      <c r="G2" s="3" t="s">
        <v>525</v>
      </c>
    </row>
    <row r="3" spans="1:9" s="3" customFormat="1">
      <c r="A3" s="3" t="s">
        <v>526</v>
      </c>
      <c r="B3" s="3" t="s">
        <v>523</v>
      </c>
      <c r="C3" s="3" t="s">
        <v>523</v>
      </c>
      <c r="D3" s="3" t="s">
        <v>524</v>
      </c>
      <c r="E3" s="3" t="s">
        <v>524</v>
      </c>
      <c r="F3" s="3" t="s">
        <v>523</v>
      </c>
      <c r="G3" s="3" t="s">
        <v>525</v>
      </c>
    </row>
    <row r="4" spans="1:9" s="3" customFormat="1">
      <c r="A4" s="3" t="s">
        <v>527</v>
      </c>
      <c r="B4" s="3" t="s">
        <v>525</v>
      </c>
      <c r="C4" s="3" t="s">
        <v>523</v>
      </c>
      <c r="D4" s="3" t="s">
        <v>524</v>
      </c>
      <c r="E4" s="3" t="s">
        <v>524</v>
      </c>
      <c r="F4" s="3" t="s">
        <v>524</v>
      </c>
      <c r="G4" s="3" t="s">
        <v>525</v>
      </c>
    </row>
    <row r="5" spans="1:9" s="3" customFormat="1">
      <c r="A5" s="3" t="s">
        <v>528</v>
      </c>
      <c r="B5" s="3" t="s">
        <v>525</v>
      </c>
      <c r="C5" s="3" t="s">
        <v>523</v>
      </c>
      <c r="D5" s="3" t="s">
        <v>524</v>
      </c>
      <c r="E5" s="3" t="s">
        <v>524</v>
      </c>
      <c r="F5" s="3" t="s">
        <v>523</v>
      </c>
      <c r="G5" s="3" t="s">
        <v>525</v>
      </c>
    </row>
    <row r="6" spans="1:9" s="3" customFormat="1">
      <c r="A6" s="3" t="s">
        <v>529</v>
      </c>
      <c r="B6" s="3" t="s">
        <v>525</v>
      </c>
      <c r="C6" s="3" t="s">
        <v>525</v>
      </c>
      <c r="D6" s="3" t="s">
        <v>524</v>
      </c>
      <c r="E6" s="3" t="s">
        <v>524</v>
      </c>
      <c r="F6" s="3" t="s">
        <v>523</v>
      </c>
      <c r="G6" s="3" t="s">
        <v>523</v>
      </c>
    </row>
    <row r="7" spans="1:9" s="3" customFormat="1">
      <c r="A7" s="3" t="s">
        <v>530</v>
      </c>
      <c r="B7" s="3" t="s">
        <v>525</v>
      </c>
      <c r="C7" s="3" t="s">
        <v>523</v>
      </c>
      <c r="D7" s="3" t="s">
        <v>524</v>
      </c>
      <c r="E7" s="3" t="s">
        <v>524</v>
      </c>
      <c r="F7" s="3" t="s">
        <v>523</v>
      </c>
      <c r="G7" s="3" t="s">
        <v>525</v>
      </c>
    </row>
    <row r="8" spans="1:9" s="3" customFormat="1">
      <c r="A8" s="3" t="s">
        <v>75</v>
      </c>
      <c r="B8" s="3" t="s">
        <v>523</v>
      </c>
      <c r="C8" s="3" t="s">
        <v>523</v>
      </c>
      <c r="D8" s="3" t="s">
        <v>524</v>
      </c>
      <c r="E8" s="3" t="s">
        <v>524</v>
      </c>
      <c r="F8" s="3" t="s">
        <v>523</v>
      </c>
      <c r="G8" s="3" t="s">
        <v>525</v>
      </c>
    </row>
    <row r="9" spans="1:9" s="3" customFormat="1">
      <c r="A9" s="3" t="s">
        <v>531</v>
      </c>
      <c r="B9" s="3" t="s">
        <v>523</v>
      </c>
      <c r="C9" s="3" t="s">
        <v>523</v>
      </c>
      <c r="D9" s="3" t="s">
        <v>524</v>
      </c>
      <c r="E9" s="3" t="s">
        <v>524</v>
      </c>
      <c r="F9" s="3" t="s">
        <v>524</v>
      </c>
      <c r="G9" s="3" t="s">
        <v>523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60CD-E02B-4F80-AFB3-BBD8F7BB284B}">
  <dimension ref="A1:B8"/>
  <sheetViews>
    <sheetView workbookViewId="0">
      <selection activeCell="A5" sqref="A5"/>
    </sheetView>
  </sheetViews>
  <sheetFormatPr defaultRowHeight="15"/>
  <cols>
    <col min="1" max="1" width="17" customWidth="1"/>
    <col min="2" max="2" width="19.28515625" customWidth="1"/>
  </cols>
  <sheetData>
    <row r="1" spans="1:2">
      <c r="A1" s="5" t="s">
        <v>532</v>
      </c>
      <c r="B1" s="5" t="s">
        <v>533</v>
      </c>
    </row>
    <row r="2" spans="1:2">
      <c r="A2" s="3" t="s">
        <v>522</v>
      </c>
      <c r="B2" s="3" t="s">
        <v>534</v>
      </c>
    </row>
    <row r="3" spans="1:2">
      <c r="A3" s="3" t="s">
        <v>526</v>
      </c>
      <c r="B3" s="3" t="s">
        <v>535</v>
      </c>
    </row>
    <row r="4" spans="1:2">
      <c r="A4" s="3" t="s">
        <v>527</v>
      </c>
      <c r="B4" s="3" t="s">
        <v>536</v>
      </c>
    </row>
    <row r="5" spans="1:2">
      <c r="A5" s="3" t="s">
        <v>528</v>
      </c>
      <c r="B5" s="3" t="s">
        <v>534</v>
      </c>
    </row>
    <row r="6" spans="1:2">
      <c r="A6" s="3" t="s">
        <v>529</v>
      </c>
      <c r="B6" s="3" t="s">
        <v>535</v>
      </c>
    </row>
    <row r="7" spans="1:2">
      <c r="A7" s="3" t="s">
        <v>530</v>
      </c>
      <c r="B7" s="3" t="s">
        <v>534</v>
      </c>
    </row>
    <row r="8" spans="1:2">
      <c r="A8" s="3" t="s">
        <v>75</v>
      </c>
      <c r="B8" s="3" t="s">
        <v>534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19"/>
  <sheetViews>
    <sheetView workbookViewId="0">
      <selection activeCell="D19" sqref="D19"/>
    </sheetView>
  </sheetViews>
  <sheetFormatPr defaultRowHeight="15"/>
  <cols>
    <col min="1" max="1" width="17.7109375" bestFit="1" customWidth="1"/>
    <col min="2" max="2" width="10.85546875" bestFit="1" customWidth="1"/>
    <col min="3" max="3" width="11" bestFit="1" customWidth="1"/>
    <col min="4" max="4" width="11.42578125" bestFit="1" customWidth="1"/>
    <col min="5" max="5" width="7.42578125" bestFit="1" customWidth="1"/>
    <col min="6" max="7" width="11.7109375" bestFit="1" customWidth="1"/>
    <col min="8" max="8" width="16.42578125" bestFit="1" customWidth="1"/>
    <col min="9" max="9" width="28" bestFit="1" customWidth="1"/>
    <col min="10" max="10" width="31" bestFit="1" customWidth="1"/>
    <col min="11" max="11" width="34.7109375" bestFit="1" customWidth="1"/>
    <col min="12" max="12" width="33.5703125" bestFit="1" customWidth="1"/>
    <col min="13" max="13" width="30.28515625" bestFit="1" customWidth="1"/>
    <col min="14" max="14" width="22.5703125" bestFit="1" customWidth="1"/>
    <col min="15" max="15" width="16.140625" bestFit="1" customWidth="1"/>
    <col min="16" max="16" width="30.42578125" bestFit="1" customWidth="1"/>
    <col min="17" max="17" width="24.42578125" bestFit="1" customWidth="1"/>
    <col min="18" max="18" width="36.5703125" bestFit="1" customWidth="1"/>
    <col min="19" max="19" width="16.5703125" bestFit="1" customWidth="1"/>
    <col min="20" max="20" width="20" bestFit="1" customWidth="1"/>
    <col min="21" max="21" width="24.5703125" bestFit="1" customWidth="1"/>
    <col min="22" max="22" width="28.7109375" bestFit="1" customWidth="1"/>
    <col min="23" max="23" width="37.7109375" bestFit="1" customWidth="1"/>
    <col min="24" max="24" width="23.42578125" bestFit="1" customWidth="1"/>
    <col min="25" max="25" width="20.42578125" bestFit="1" customWidth="1"/>
    <col min="26" max="26" width="20.85546875" bestFit="1" customWidth="1"/>
    <col min="27" max="27" width="10" bestFit="1" customWidth="1"/>
    <col min="28" max="28" width="19.7109375" bestFit="1" customWidth="1"/>
    <col min="29" max="29" width="20.28515625" bestFit="1" customWidth="1"/>
    <col min="30" max="30" width="20.7109375" bestFit="1" customWidth="1"/>
    <col min="31" max="31" width="23.28515625" bestFit="1" customWidth="1"/>
    <col min="32" max="32" width="27" bestFit="1" customWidth="1"/>
    <col min="33" max="33" width="16.7109375" bestFit="1" customWidth="1"/>
    <col min="34" max="34" width="9.28515625" bestFit="1" customWidth="1"/>
    <col min="35" max="35" width="12.42578125" bestFit="1" customWidth="1"/>
    <col min="36" max="36" width="11.7109375" bestFit="1" customWidth="1"/>
  </cols>
  <sheetData>
    <row r="2" spans="1:6">
      <c r="A2" s="7" t="s">
        <v>537</v>
      </c>
      <c r="B2" s="7" t="s">
        <v>19</v>
      </c>
    </row>
    <row r="3" spans="1:6">
      <c r="A3" s="7" t="s">
        <v>14</v>
      </c>
      <c r="B3" t="s">
        <v>28</v>
      </c>
      <c r="C3" t="s">
        <v>195</v>
      </c>
      <c r="D3" t="s">
        <v>383</v>
      </c>
      <c r="E3" t="s">
        <v>538</v>
      </c>
      <c r="F3" t="s">
        <v>539</v>
      </c>
    </row>
    <row r="4" spans="1:6">
      <c r="A4" t="s">
        <v>66</v>
      </c>
      <c r="C4">
        <v>1</v>
      </c>
      <c r="D4">
        <v>17</v>
      </c>
      <c r="F4">
        <v>18</v>
      </c>
    </row>
    <row r="5" spans="1:6">
      <c r="A5" t="s">
        <v>117</v>
      </c>
      <c r="B5">
        <v>2</v>
      </c>
      <c r="C5">
        <v>4</v>
      </c>
      <c r="F5">
        <v>6</v>
      </c>
    </row>
    <row r="6" spans="1:6">
      <c r="A6" t="s">
        <v>59</v>
      </c>
      <c r="B6">
        <v>2</v>
      </c>
      <c r="C6">
        <v>3</v>
      </c>
      <c r="F6">
        <v>5</v>
      </c>
    </row>
    <row r="7" spans="1:6">
      <c r="A7" t="s">
        <v>538</v>
      </c>
    </row>
    <row r="8" spans="1:6">
      <c r="A8" t="s">
        <v>539</v>
      </c>
      <c r="B8">
        <v>4</v>
      </c>
      <c r="C8">
        <v>8</v>
      </c>
      <c r="D8">
        <v>17</v>
      </c>
      <c r="F8">
        <v>29</v>
      </c>
    </row>
    <row r="19" spans="4:4">
      <c r="D19" t="s">
        <v>540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J12" sqref="J12"/>
    </sheetView>
  </sheetViews>
  <sheetFormatPr defaultRowHeight="15"/>
  <sheetData>
    <row r="1" spans="1:4">
      <c r="A1" s="8" t="s">
        <v>14</v>
      </c>
      <c r="B1" s="8" t="s">
        <v>28</v>
      </c>
      <c r="C1" s="8" t="s">
        <v>195</v>
      </c>
      <c r="D1" s="8" t="s">
        <v>383</v>
      </c>
    </row>
    <row r="2" spans="1:4">
      <c r="A2" t="s">
        <v>66</v>
      </c>
      <c r="C2">
        <v>1</v>
      </c>
      <c r="D2">
        <v>17</v>
      </c>
    </row>
    <row r="3" spans="1:4">
      <c r="A3" t="s">
        <v>117</v>
      </c>
      <c r="B3">
        <v>2</v>
      </c>
      <c r="C3">
        <v>4</v>
      </c>
    </row>
    <row r="4" spans="1:4">
      <c r="A4" t="s">
        <v>59</v>
      </c>
      <c r="B4">
        <v>2</v>
      </c>
      <c r="C4">
        <v>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12"/>
  <sheetViews>
    <sheetView topLeftCell="A2" workbookViewId="0">
      <selection activeCell="J20" sqref="J20"/>
    </sheetView>
  </sheetViews>
  <sheetFormatPr defaultRowHeight="15"/>
  <cols>
    <col min="1" max="1" width="16.85546875" bestFit="1" customWidth="1"/>
    <col min="2" max="2" width="20.140625" bestFit="1" customWidth="1"/>
  </cols>
  <sheetData>
    <row r="2" spans="1:2">
      <c r="A2" s="7" t="s">
        <v>16</v>
      </c>
      <c r="B2" t="s">
        <v>541</v>
      </c>
    </row>
    <row r="3" spans="1:2">
      <c r="A3" t="s">
        <v>137</v>
      </c>
      <c r="B3">
        <v>8</v>
      </c>
    </row>
    <row r="4" spans="1:2">
      <c r="A4" t="s">
        <v>542</v>
      </c>
      <c r="B4">
        <v>6</v>
      </c>
    </row>
    <row r="5" spans="1:2">
      <c r="A5" t="s">
        <v>543</v>
      </c>
      <c r="B5">
        <v>5</v>
      </c>
    </row>
    <row r="6" spans="1:2">
      <c r="A6" t="s">
        <v>544</v>
      </c>
      <c r="B6">
        <v>4</v>
      </c>
    </row>
    <row r="7" spans="1:2">
      <c r="A7" t="s">
        <v>473</v>
      </c>
      <c r="B7">
        <v>2</v>
      </c>
    </row>
    <row r="8" spans="1:2">
      <c r="A8" t="s">
        <v>37</v>
      </c>
      <c r="B8">
        <v>1</v>
      </c>
    </row>
    <row r="9" spans="1:2">
      <c r="A9" t="s">
        <v>150</v>
      </c>
      <c r="B9">
        <v>1</v>
      </c>
    </row>
    <row r="10" spans="1:2">
      <c r="A10" t="s">
        <v>545</v>
      </c>
      <c r="B10">
        <v>1</v>
      </c>
    </row>
    <row r="11" spans="1:2">
      <c r="A11" t="s">
        <v>101</v>
      </c>
      <c r="B11">
        <v>1</v>
      </c>
    </row>
    <row r="12" spans="1:2">
      <c r="A12" t="s">
        <v>539</v>
      </c>
      <c r="B12">
        <v>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13"/>
  <sheetViews>
    <sheetView topLeftCell="A2" workbookViewId="0">
      <selection activeCell="C19" sqref="C19"/>
    </sheetView>
  </sheetViews>
  <sheetFormatPr defaultRowHeight="15"/>
  <cols>
    <col min="1" max="1" width="20.140625" bestFit="1" customWidth="1"/>
    <col min="2" max="2" width="11.42578125" bestFit="1" customWidth="1"/>
    <col min="3" max="3" width="11" bestFit="1" customWidth="1"/>
    <col min="4" max="4" width="10.85546875" bestFit="1" customWidth="1"/>
    <col min="5" max="5" width="11.7109375" bestFit="1" customWidth="1"/>
  </cols>
  <sheetData>
    <row r="2" spans="1:5">
      <c r="A2" s="7" t="s">
        <v>541</v>
      </c>
      <c r="B2" s="7" t="s">
        <v>19</v>
      </c>
    </row>
    <row r="3" spans="1:5">
      <c r="A3" s="7" t="s">
        <v>16</v>
      </c>
      <c r="B3" t="s">
        <v>383</v>
      </c>
      <c r="C3" t="s">
        <v>195</v>
      </c>
      <c r="D3" t="s">
        <v>28</v>
      </c>
      <c r="E3" t="s">
        <v>539</v>
      </c>
    </row>
    <row r="4" spans="1:5">
      <c r="A4" t="s">
        <v>137</v>
      </c>
      <c r="B4">
        <v>5</v>
      </c>
      <c r="C4">
        <v>2</v>
      </c>
      <c r="D4">
        <v>1</v>
      </c>
      <c r="E4">
        <v>8</v>
      </c>
    </row>
    <row r="5" spans="1:5">
      <c r="A5" t="s">
        <v>542</v>
      </c>
      <c r="B5">
        <v>6</v>
      </c>
      <c r="E5">
        <v>6</v>
      </c>
    </row>
    <row r="6" spans="1:5">
      <c r="A6" t="s">
        <v>543</v>
      </c>
      <c r="C6">
        <v>3</v>
      </c>
      <c r="D6">
        <v>2</v>
      </c>
      <c r="E6">
        <v>5</v>
      </c>
    </row>
    <row r="7" spans="1:5">
      <c r="A7" t="s">
        <v>544</v>
      </c>
      <c r="B7">
        <v>3</v>
      </c>
      <c r="C7">
        <v>1</v>
      </c>
      <c r="E7">
        <v>4</v>
      </c>
    </row>
    <row r="8" spans="1:5">
      <c r="A8" t="s">
        <v>473</v>
      </c>
      <c r="B8">
        <v>1</v>
      </c>
      <c r="D8">
        <v>1</v>
      </c>
      <c r="E8">
        <v>2</v>
      </c>
    </row>
    <row r="9" spans="1:5">
      <c r="A9" t="s">
        <v>37</v>
      </c>
      <c r="C9">
        <v>1</v>
      </c>
      <c r="E9">
        <v>1</v>
      </c>
    </row>
    <row r="10" spans="1:5">
      <c r="A10" t="s">
        <v>150</v>
      </c>
      <c r="B10">
        <v>1</v>
      </c>
      <c r="E10">
        <v>1</v>
      </c>
    </row>
    <row r="11" spans="1:5">
      <c r="A11" t="s">
        <v>545</v>
      </c>
      <c r="B11">
        <v>1</v>
      </c>
      <c r="E11">
        <v>1</v>
      </c>
    </row>
    <row r="12" spans="1:5">
      <c r="A12" t="s">
        <v>101</v>
      </c>
      <c r="C12">
        <v>1</v>
      </c>
      <c r="E12">
        <v>1</v>
      </c>
    </row>
    <row r="13" spans="1:5">
      <c r="A13" t="s">
        <v>539</v>
      </c>
      <c r="B13">
        <v>17</v>
      </c>
      <c r="C13">
        <v>8</v>
      </c>
      <c r="D13">
        <v>4</v>
      </c>
      <c r="E13">
        <v>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18"/>
  <sheetViews>
    <sheetView workbookViewId="0">
      <selection activeCell="G12" sqref="G12"/>
    </sheetView>
  </sheetViews>
  <sheetFormatPr defaultRowHeight="15"/>
  <cols>
    <col min="1" max="1" width="17.7109375" bestFit="1" customWidth="1"/>
    <col min="2" max="2" width="16.85546875" bestFit="1" customWidth="1"/>
    <col min="3" max="3" width="11.42578125" bestFit="1" customWidth="1"/>
    <col min="4" max="4" width="11" bestFit="1" customWidth="1"/>
    <col min="5" max="5" width="10.85546875" bestFit="1" customWidth="1"/>
    <col min="6" max="6" width="11.7109375" bestFit="1" customWidth="1"/>
  </cols>
  <sheetData>
    <row r="2" spans="1:6">
      <c r="A2" s="7" t="s">
        <v>546</v>
      </c>
      <c r="C2" s="7" t="s">
        <v>19</v>
      </c>
    </row>
    <row r="3" spans="1:6">
      <c r="A3" s="7" t="s">
        <v>14</v>
      </c>
      <c r="B3" s="7" t="s">
        <v>16</v>
      </c>
      <c r="C3" t="s">
        <v>383</v>
      </c>
      <c r="D3" t="s">
        <v>195</v>
      </c>
      <c r="E3" t="s">
        <v>28</v>
      </c>
      <c r="F3" t="s">
        <v>539</v>
      </c>
    </row>
    <row r="4" spans="1:6">
      <c r="A4" t="s">
        <v>66</v>
      </c>
      <c r="B4" t="s">
        <v>542</v>
      </c>
      <c r="C4">
        <v>6</v>
      </c>
      <c r="F4">
        <v>6</v>
      </c>
    </row>
    <row r="5" spans="1:6">
      <c r="B5" t="s">
        <v>137</v>
      </c>
      <c r="C5">
        <v>5</v>
      </c>
      <c r="F5">
        <v>5</v>
      </c>
    </row>
    <row r="6" spans="1:6">
      <c r="B6" t="s">
        <v>544</v>
      </c>
      <c r="C6">
        <v>3</v>
      </c>
      <c r="D6">
        <v>1</v>
      </c>
      <c r="F6">
        <v>4</v>
      </c>
    </row>
    <row r="7" spans="1:6">
      <c r="B7" t="s">
        <v>473</v>
      </c>
      <c r="C7">
        <v>1</v>
      </c>
      <c r="F7">
        <v>1</v>
      </c>
    </row>
    <row r="8" spans="1:6">
      <c r="B8" t="s">
        <v>150</v>
      </c>
      <c r="C8">
        <v>1</v>
      </c>
      <c r="F8">
        <v>1</v>
      </c>
    </row>
    <row r="9" spans="1:6">
      <c r="B9" t="s">
        <v>545</v>
      </c>
      <c r="C9">
        <v>1</v>
      </c>
      <c r="F9">
        <v>1</v>
      </c>
    </row>
    <row r="10" spans="1:6">
      <c r="A10" t="s">
        <v>547</v>
      </c>
      <c r="C10">
        <v>17</v>
      </c>
      <c r="D10">
        <v>1</v>
      </c>
      <c r="F10">
        <v>18</v>
      </c>
    </row>
    <row r="11" spans="1:6">
      <c r="A11" t="s">
        <v>117</v>
      </c>
      <c r="B11" t="s">
        <v>137</v>
      </c>
      <c r="D11">
        <v>2</v>
      </c>
      <c r="E11">
        <v>1</v>
      </c>
      <c r="F11">
        <v>3</v>
      </c>
    </row>
    <row r="12" spans="1:6">
      <c r="B12" t="s">
        <v>37</v>
      </c>
      <c r="D12">
        <v>1</v>
      </c>
      <c r="F12">
        <v>1</v>
      </c>
    </row>
    <row r="13" spans="1:6">
      <c r="B13" t="s">
        <v>473</v>
      </c>
      <c r="E13">
        <v>1</v>
      </c>
      <c r="F13">
        <v>1</v>
      </c>
    </row>
    <row r="14" spans="1:6">
      <c r="B14" t="s">
        <v>101</v>
      </c>
      <c r="D14">
        <v>1</v>
      </c>
      <c r="F14">
        <v>1</v>
      </c>
    </row>
    <row r="15" spans="1:6">
      <c r="A15" t="s">
        <v>548</v>
      </c>
      <c r="D15">
        <v>4</v>
      </c>
      <c r="E15">
        <v>2</v>
      </c>
      <c r="F15">
        <v>6</v>
      </c>
    </row>
    <row r="16" spans="1:6">
      <c r="A16" t="s">
        <v>59</v>
      </c>
      <c r="B16" t="s">
        <v>543</v>
      </c>
      <c r="D16">
        <v>3</v>
      </c>
      <c r="E16">
        <v>2</v>
      </c>
      <c r="F16">
        <v>5</v>
      </c>
    </row>
    <row r="17" spans="1:6">
      <c r="A17" t="s">
        <v>549</v>
      </c>
      <c r="D17">
        <v>3</v>
      </c>
      <c r="E17">
        <v>2</v>
      </c>
      <c r="F17">
        <v>5</v>
      </c>
    </row>
    <row r="18" spans="1:6">
      <c r="A18" t="s">
        <v>539</v>
      </c>
      <c r="C18">
        <v>17</v>
      </c>
      <c r="D18">
        <v>8</v>
      </c>
      <c r="E18">
        <v>4</v>
      </c>
      <c r="F18">
        <v>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2DCF2-A7BB-477B-AD56-C27823896D5A}">
  <dimension ref="A1:H37"/>
  <sheetViews>
    <sheetView workbookViewId="0">
      <selection activeCell="D7" sqref="D7"/>
    </sheetView>
  </sheetViews>
  <sheetFormatPr defaultRowHeight="15"/>
  <cols>
    <col min="1" max="1" width="26.140625" bestFit="1" customWidth="1"/>
    <col min="2" max="2" width="10.7109375" bestFit="1" customWidth="1"/>
    <col min="3" max="3" width="39" bestFit="1" customWidth="1"/>
    <col min="4" max="4" width="96.28515625" bestFit="1" customWidth="1"/>
    <col min="5" max="5" width="14.28515625" bestFit="1" customWidth="1"/>
    <col min="6" max="6" width="18" bestFit="1" customWidth="1"/>
    <col min="7" max="7" width="11.28515625" bestFit="1" customWidth="1"/>
    <col min="8" max="8" width="4.42578125" bestFit="1" customWidth="1"/>
  </cols>
  <sheetData>
    <row r="1" spans="1:8">
      <c r="A1" s="4" t="s">
        <v>349</v>
      </c>
      <c r="B1" s="4" t="s">
        <v>19</v>
      </c>
      <c r="C1" s="4" t="s">
        <v>550</v>
      </c>
      <c r="D1" s="4" t="s">
        <v>551</v>
      </c>
      <c r="E1" s="4" t="s">
        <v>552</v>
      </c>
      <c r="F1" s="4" t="s">
        <v>16</v>
      </c>
      <c r="G1" s="4" t="s">
        <v>553</v>
      </c>
      <c r="H1" s="4" t="s">
        <v>554</v>
      </c>
    </row>
    <row r="2" spans="1:8">
      <c r="A2" t="s">
        <v>367</v>
      </c>
      <c r="B2" t="s">
        <v>28</v>
      </c>
      <c r="C2" t="s">
        <v>555</v>
      </c>
      <c r="D2" t="s">
        <v>556</v>
      </c>
      <c r="E2" t="s">
        <v>82</v>
      </c>
      <c r="F2" t="s">
        <v>37</v>
      </c>
      <c r="G2" t="s">
        <v>28</v>
      </c>
      <c r="H2">
        <v>100</v>
      </c>
    </row>
    <row r="3" spans="1:8">
      <c r="C3" t="s">
        <v>557</v>
      </c>
      <c r="D3" t="s">
        <v>558</v>
      </c>
      <c r="E3" t="s">
        <v>82</v>
      </c>
      <c r="F3" t="s">
        <v>34</v>
      </c>
      <c r="G3" t="s">
        <v>28</v>
      </c>
      <c r="H3">
        <v>100</v>
      </c>
    </row>
    <row r="4" spans="1:8">
      <c r="C4" t="s">
        <v>559</v>
      </c>
      <c r="D4" t="s">
        <v>560</v>
      </c>
      <c r="E4" t="s">
        <v>82</v>
      </c>
      <c r="F4" t="s">
        <v>37</v>
      </c>
      <c r="G4" t="s">
        <v>28</v>
      </c>
      <c r="H4">
        <v>100</v>
      </c>
    </row>
    <row r="5" spans="1:8">
      <c r="C5" t="s">
        <v>561</v>
      </c>
      <c r="D5" t="s">
        <v>562</v>
      </c>
      <c r="E5" t="s">
        <v>82</v>
      </c>
      <c r="F5" t="s">
        <v>37</v>
      </c>
      <c r="G5" t="s">
        <v>28</v>
      </c>
      <c r="H5">
        <v>100</v>
      </c>
    </row>
    <row r="6" spans="1:8">
      <c r="C6" t="s">
        <v>563</v>
      </c>
      <c r="D6" t="s">
        <v>564</v>
      </c>
      <c r="E6" t="s">
        <v>82</v>
      </c>
      <c r="F6" t="s">
        <v>37</v>
      </c>
      <c r="G6" t="s">
        <v>28</v>
      </c>
      <c r="H6">
        <v>100</v>
      </c>
    </row>
    <row r="7" spans="1:8">
      <c r="C7" t="s">
        <v>565</v>
      </c>
      <c r="D7" t="s">
        <v>566</v>
      </c>
      <c r="E7" t="s">
        <v>82</v>
      </c>
      <c r="F7" t="s">
        <v>37</v>
      </c>
      <c r="G7" t="s">
        <v>28</v>
      </c>
      <c r="H7">
        <v>100</v>
      </c>
    </row>
    <row r="8" spans="1:8">
      <c r="A8" t="s">
        <v>57</v>
      </c>
      <c r="B8" t="s">
        <v>28</v>
      </c>
      <c r="C8" t="s">
        <v>567</v>
      </c>
      <c r="D8" t="s">
        <v>568</v>
      </c>
      <c r="E8" t="s">
        <v>569</v>
      </c>
      <c r="F8" t="s">
        <v>570</v>
      </c>
      <c r="G8" t="s">
        <v>28</v>
      </c>
      <c r="H8">
        <v>100</v>
      </c>
    </row>
    <row r="9" spans="1:8">
      <c r="C9" t="s">
        <v>571</v>
      </c>
      <c r="D9" t="s">
        <v>572</v>
      </c>
      <c r="E9" t="s">
        <v>569</v>
      </c>
      <c r="F9" t="s">
        <v>108</v>
      </c>
      <c r="G9" t="s">
        <v>28</v>
      </c>
      <c r="H9">
        <v>100</v>
      </c>
    </row>
    <row r="10" spans="1:8">
      <c r="C10" t="s">
        <v>573</v>
      </c>
      <c r="D10" t="s">
        <v>574</v>
      </c>
      <c r="E10" t="s">
        <v>569</v>
      </c>
      <c r="F10" t="s">
        <v>63</v>
      </c>
      <c r="G10" t="s">
        <v>28</v>
      </c>
      <c r="H10">
        <v>100</v>
      </c>
    </row>
    <row r="11" spans="1:8">
      <c r="C11" t="s">
        <v>575</v>
      </c>
      <c r="D11" t="s">
        <v>576</v>
      </c>
      <c r="E11" t="s">
        <v>569</v>
      </c>
      <c r="F11" t="s">
        <v>101</v>
      </c>
      <c r="G11" t="s">
        <v>28</v>
      </c>
      <c r="H11">
        <v>100</v>
      </c>
    </row>
    <row r="12" spans="1:8">
      <c r="C12" t="s">
        <v>577</v>
      </c>
      <c r="D12" t="s">
        <v>578</v>
      </c>
      <c r="E12" t="s">
        <v>569</v>
      </c>
      <c r="F12" t="s">
        <v>37</v>
      </c>
      <c r="G12" t="s">
        <v>28</v>
      </c>
      <c r="H12">
        <v>100</v>
      </c>
    </row>
    <row r="13" spans="1:8">
      <c r="A13" t="s">
        <v>71</v>
      </c>
      <c r="B13" t="s">
        <v>28</v>
      </c>
      <c r="C13" t="s">
        <v>161</v>
      </c>
      <c r="D13" t="s">
        <v>579</v>
      </c>
      <c r="E13" t="s">
        <v>71</v>
      </c>
      <c r="F13" t="s">
        <v>37</v>
      </c>
      <c r="G13" t="s">
        <v>28</v>
      </c>
      <c r="H13">
        <v>100</v>
      </c>
    </row>
    <row r="14" spans="1:8">
      <c r="C14" t="s">
        <v>580</v>
      </c>
      <c r="D14" t="s">
        <v>581</v>
      </c>
      <c r="E14" t="s">
        <v>71</v>
      </c>
      <c r="F14" t="s">
        <v>150</v>
      </c>
      <c r="G14" t="s">
        <v>28</v>
      </c>
      <c r="H14">
        <v>100</v>
      </c>
    </row>
    <row r="15" spans="1:8">
      <c r="C15" t="s">
        <v>582</v>
      </c>
      <c r="D15" t="s">
        <v>583</v>
      </c>
      <c r="E15" t="s">
        <v>71</v>
      </c>
      <c r="F15" t="s">
        <v>150</v>
      </c>
      <c r="G15" t="s">
        <v>28</v>
      </c>
      <c r="H15">
        <v>100</v>
      </c>
    </row>
    <row r="16" spans="1:8">
      <c r="C16" t="s">
        <v>584</v>
      </c>
      <c r="D16" t="s">
        <v>585</v>
      </c>
      <c r="E16" t="s">
        <v>71</v>
      </c>
      <c r="F16" t="s">
        <v>150</v>
      </c>
      <c r="G16" t="s">
        <v>28</v>
      </c>
      <c r="H16">
        <v>100</v>
      </c>
    </row>
    <row r="17" spans="1:8">
      <c r="C17" t="s">
        <v>586</v>
      </c>
      <c r="D17" t="s">
        <v>587</v>
      </c>
      <c r="E17" t="s">
        <v>71</v>
      </c>
      <c r="F17" t="s">
        <v>150</v>
      </c>
      <c r="G17" t="s">
        <v>28</v>
      </c>
      <c r="H17">
        <v>100</v>
      </c>
    </row>
    <row r="18" spans="1:8">
      <c r="A18" t="s">
        <v>119</v>
      </c>
      <c r="B18" t="s">
        <v>28</v>
      </c>
      <c r="C18" t="s">
        <v>588</v>
      </c>
      <c r="D18" t="s">
        <v>589</v>
      </c>
      <c r="E18" t="s">
        <v>590</v>
      </c>
      <c r="F18" t="s">
        <v>75</v>
      </c>
      <c r="G18" t="s">
        <v>28</v>
      </c>
      <c r="H18">
        <v>100</v>
      </c>
    </row>
    <row r="19" spans="1:8">
      <c r="C19" t="s">
        <v>591</v>
      </c>
      <c r="D19" t="s">
        <v>592</v>
      </c>
      <c r="E19" t="s">
        <v>590</v>
      </c>
      <c r="F19" t="s">
        <v>34</v>
      </c>
      <c r="G19" t="s">
        <v>28</v>
      </c>
      <c r="H19">
        <v>100</v>
      </c>
    </row>
    <row r="20" spans="1:8">
      <c r="C20" t="s">
        <v>593</v>
      </c>
      <c r="D20" t="s">
        <v>594</v>
      </c>
      <c r="E20" t="s">
        <v>590</v>
      </c>
      <c r="F20" t="s">
        <v>595</v>
      </c>
      <c r="G20" t="s">
        <v>28</v>
      </c>
      <c r="H20">
        <v>100</v>
      </c>
    </row>
    <row r="21" spans="1:8">
      <c r="A21" t="s">
        <v>372</v>
      </c>
      <c r="B21" t="s">
        <v>195</v>
      </c>
      <c r="C21" t="s">
        <v>596</v>
      </c>
      <c r="D21" t="s">
        <v>597</v>
      </c>
      <c r="E21" t="s">
        <v>598</v>
      </c>
      <c r="F21" t="s">
        <v>75</v>
      </c>
      <c r="G21" t="s">
        <v>28</v>
      </c>
      <c r="H21">
        <v>100</v>
      </c>
    </row>
    <row r="22" spans="1:8">
      <c r="C22" t="s">
        <v>599</v>
      </c>
      <c r="D22" t="s">
        <v>600</v>
      </c>
      <c r="E22" t="s">
        <v>598</v>
      </c>
      <c r="F22" t="s">
        <v>75</v>
      </c>
      <c r="G22" t="s">
        <v>28</v>
      </c>
      <c r="H22">
        <v>100</v>
      </c>
    </row>
    <row r="23" spans="1:8">
      <c r="C23" t="s">
        <v>601</v>
      </c>
      <c r="D23" t="s">
        <v>602</v>
      </c>
      <c r="E23" t="s">
        <v>598</v>
      </c>
      <c r="F23" t="s">
        <v>150</v>
      </c>
      <c r="G23" t="s">
        <v>28</v>
      </c>
      <c r="H23">
        <v>100</v>
      </c>
    </row>
    <row r="24" spans="1:8">
      <c r="C24" t="s">
        <v>603</v>
      </c>
      <c r="D24" t="s">
        <v>604</v>
      </c>
      <c r="E24" t="s">
        <v>598</v>
      </c>
      <c r="F24" t="s">
        <v>150</v>
      </c>
      <c r="G24" t="s">
        <v>28</v>
      </c>
      <c r="H24">
        <v>100</v>
      </c>
    </row>
    <row r="25" spans="1:8">
      <c r="C25" t="s">
        <v>605</v>
      </c>
      <c r="D25" t="s">
        <v>606</v>
      </c>
      <c r="E25" t="s">
        <v>598</v>
      </c>
      <c r="F25" t="s">
        <v>75</v>
      </c>
      <c r="G25" t="s">
        <v>195</v>
      </c>
      <c r="H25" t="s">
        <v>607</v>
      </c>
    </row>
    <row r="26" spans="1:8">
      <c r="C26" t="s">
        <v>608</v>
      </c>
      <c r="D26" t="s">
        <v>609</v>
      </c>
      <c r="E26" t="s">
        <v>598</v>
      </c>
      <c r="F26" t="s">
        <v>260</v>
      </c>
      <c r="G26" t="s">
        <v>383</v>
      </c>
      <c r="H26" t="s">
        <v>607</v>
      </c>
    </row>
    <row r="27" spans="1:8">
      <c r="A27" t="s">
        <v>180</v>
      </c>
      <c r="B27" t="s">
        <v>195</v>
      </c>
      <c r="C27" t="s">
        <v>610</v>
      </c>
      <c r="D27" t="s">
        <v>611</v>
      </c>
      <c r="E27" t="s">
        <v>612</v>
      </c>
      <c r="F27" t="s">
        <v>181</v>
      </c>
      <c r="G27" t="s">
        <v>28</v>
      </c>
      <c r="H27">
        <v>100</v>
      </c>
    </row>
    <row r="28" spans="1:8">
      <c r="C28" t="s">
        <v>613</v>
      </c>
      <c r="D28" t="s">
        <v>614</v>
      </c>
      <c r="E28" t="s">
        <v>612</v>
      </c>
      <c r="F28" t="s">
        <v>181</v>
      </c>
      <c r="G28" t="s">
        <v>28</v>
      </c>
      <c r="H28">
        <v>100</v>
      </c>
    </row>
    <row r="29" spans="1:8">
      <c r="C29" t="s">
        <v>615</v>
      </c>
      <c r="D29" t="s">
        <v>616</v>
      </c>
      <c r="E29" t="s">
        <v>612</v>
      </c>
      <c r="F29" t="s">
        <v>34</v>
      </c>
      <c r="G29" t="s">
        <v>28</v>
      </c>
      <c r="H29">
        <v>100</v>
      </c>
    </row>
    <row r="30" spans="1:8">
      <c r="C30" t="s">
        <v>617</v>
      </c>
      <c r="D30" t="s">
        <v>618</v>
      </c>
      <c r="E30" t="s">
        <v>612</v>
      </c>
      <c r="F30" t="s">
        <v>283</v>
      </c>
      <c r="G30" t="s">
        <v>195</v>
      </c>
      <c r="H30" t="s">
        <v>607</v>
      </c>
    </row>
    <row r="31" spans="1:8">
      <c r="A31" t="s">
        <v>250</v>
      </c>
      <c r="B31" t="s">
        <v>195</v>
      </c>
      <c r="C31" t="s">
        <v>619</v>
      </c>
      <c r="D31" t="s">
        <v>620</v>
      </c>
      <c r="E31" t="s">
        <v>350</v>
      </c>
      <c r="F31" t="s">
        <v>101</v>
      </c>
      <c r="G31" t="s">
        <v>28</v>
      </c>
      <c r="H31">
        <v>100</v>
      </c>
    </row>
    <row r="32" spans="1:8">
      <c r="C32" t="s">
        <v>621</v>
      </c>
      <c r="D32" t="s">
        <v>622</v>
      </c>
      <c r="E32" t="s">
        <v>350</v>
      </c>
      <c r="F32" t="s">
        <v>101</v>
      </c>
      <c r="G32" t="s">
        <v>28</v>
      </c>
      <c r="H32">
        <v>100</v>
      </c>
    </row>
    <row r="33" spans="1:8">
      <c r="C33" t="s">
        <v>623</v>
      </c>
      <c r="D33" t="s">
        <v>624</v>
      </c>
      <c r="E33" t="s">
        <v>350</v>
      </c>
    </row>
    <row r="34" spans="1:8">
      <c r="A34" t="s">
        <v>378</v>
      </c>
      <c r="B34" t="s">
        <v>195</v>
      </c>
      <c r="C34" t="s">
        <v>625</v>
      </c>
      <c r="D34" t="s">
        <v>626</v>
      </c>
      <c r="E34" t="s">
        <v>627</v>
      </c>
      <c r="F34" t="s">
        <v>473</v>
      </c>
      <c r="G34" t="s">
        <v>28</v>
      </c>
      <c r="H34">
        <v>100</v>
      </c>
    </row>
    <row r="35" spans="1:8">
      <c r="C35" t="s">
        <v>628</v>
      </c>
      <c r="D35" t="s">
        <v>629</v>
      </c>
      <c r="E35" t="s">
        <v>627</v>
      </c>
      <c r="F35" t="s">
        <v>473</v>
      </c>
      <c r="G35" t="s">
        <v>28</v>
      </c>
      <c r="H35">
        <v>100</v>
      </c>
    </row>
    <row r="36" spans="1:8">
      <c r="C36" t="s">
        <v>630</v>
      </c>
      <c r="D36" t="s">
        <v>631</v>
      </c>
      <c r="E36" t="s">
        <v>627</v>
      </c>
      <c r="F36" t="s">
        <v>473</v>
      </c>
      <c r="G36" t="s">
        <v>195</v>
      </c>
      <c r="H36" t="s">
        <v>607</v>
      </c>
    </row>
    <row r="37" spans="1:8">
      <c r="C37" t="s">
        <v>632</v>
      </c>
      <c r="D37" t="s">
        <v>633</v>
      </c>
      <c r="E37" t="s">
        <v>627</v>
      </c>
      <c r="F37" t="s">
        <v>473</v>
      </c>
      <c r="G37" t="s">
        <v>195</v>
      </c>
      <c r="H37" t="s">
        <v>607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9AD0935F78DE4CA2F8485258BE1843" ma:contentTypeVersion="3" ma:contentTypeDescription="Create a new document." ma:contentTypeScope="" ma:versionID="640e4dc2718948b875110dc5f2a8b26b">
  <xsd:schema xmlns:xsd="http://www.w3.org/2001/XMLSchema" xmlns:xs="http://www.w3.org/2001/XMLSchema" xmlns:p="http://schemas.microsoft.com/office/2006/metadata/properties" xmlns:ns2="8d1b485b-b4bf-4fe0-9c31-a6bf6b2a4bef" targetNamespace="http://schemas.microsoft.com/office/2006/metadata/properties" ma:root="true" ma:fieldsID="2f96771ea955ee0ab5fd7353b5a3936f" ns2:_="">
    <xsd:import namespace="8d1b485b-b4bf-4fe0-9c31-a6bf6b2a4be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1b485b-b4bf-4fe0-9c31-a6bf6b2a4b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6734C0-69C4-4CED-BD8F-AC5B864C92EF}"/>
</file>

<file path=customXml/itemProps2.xml><?xml version="1.0" encoding="utf-8"?>
<ds:datastoreItem xmlns:ds="http://schemas.openxmlformats.org/officeDocument/2006/customXml" ds:itemID="{7ADF2F4E-B0EC-4DF7-AB82-8773EA3AF9E6}"/>
</file>

<file path=customXml/itemProps3.xml><?xml version="1.0" encoding="utf-8"?>
<ds:datastoreItem xmlns:ds="http://schemas.openxmlformats.org/officeDocument/2006/customXml" ds:itemID="{6AEBF4FA-0488-4D76-ACA4-E49087B19F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2025-12-12T06:55:36Z</dcterms:created>
  <dcterms:modified xsi:type="dcterms:W3CDTF">2026-06-05T12:25:40Z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0x010100A39AD0935F78DE4CA2F8485258BE1843</vt:lpwstr>
  </property>
</Properties>
</file>