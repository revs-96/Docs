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11.xml" ContentType="application/vnd.openxmlformats-officedocument.spreadsheetml.worksheet+xml"/>
  <Override PartName="/xl/pivotTables/pivotTable3.xml" ContentType="application/vnd.openxmlformats-officedocument.spreadsheetml.pivotTable+xml"/>
  <Override PartName="/xl/worksheets/sheet12.xml" ContentType="application/vnd.openxmlformats-officedocument.spreadsheetml.worksheet+xml"/>
  <Override PartName="/xl/pivotTables/pivotTable4.xml" ContentType="application/vnd.openxmlformats-officedocument.spreadsheetml.pivot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7" activeTab="4" autoFilterDateGrouping="1"/>
  </bookViews>
  <sheets>
    <sheet xmlns:r="http://schemas.openxmlformats.org/officeDocument/2006/relationships" name="Overview" sheetId="1" state="visible" r:id="rId1"/>
    <sheet xmlns:r="http://schemas.openxmlformats.org/officeDocument/2006/relationships" name="Tasks" sheetId="2" state="visible" r:id="rId2"/>
    <sheet xmlns:r="http://schemas.openxmlformats.org/officeDocument/2006/relationships" name="Milestones" sheetId="3" state="visible" r:id="rId3"/>
    <sheet xmlns:r="http://schemas.openxmlformats.org/officeDocument/2006/relationships" name="Risks_Issues" sheetId="4" state="visible" r:id="rId4"/>
    <sheet xmlns:r="http://schemas.openxmlformats.org/officeDocument/2006/relationships" name="Metrics" sheetId="5" state="visible" r:id="rId5"/>
    <sheet xmlns:r="http://schemas.openxmlformats.org/officeDocument/2006/relationships" name="Team Work Challenges" sheetId="6" state="visible" r:id="rId6"/>
    <sheet xmlns:r="http://schemas.openxmlformats.org/officeDocument/2006/relationships" name="Sheet1" sheetId="7" state="visible" r:id="rId7"/>
    <sheet xmlns:r="http://schemas.openxmlformats.org/officeDocument/2006/relationships" name="Sheet3" sheetId="8" state="visible" r:id="rId8"/>
    <sheet xmlns:r="http://schemas.openxmlformats.org/officeDocument/2006/relationships" name="Sheet7" sheetId="9" state="visible" r:id="rId9"/>
    <sheet xmlns:r="http://schemas.openxmlformats.org/officeDocument/2006/relationships" name="Sheet4" sheetId="10" state="visible" r:id="rId10"/>
    <sheet xmlns:r="http://schemas.openxmlformats.org/officeDocument/2006/relationships" name="Sheet5" sheetId="11" state="visible" r:id="rId11"/>
    <sheet xmlns:r="http://schemas.openxmlformats.org/officeDocument/2006/relationships" name="Sheet6" sheetId="12" state="visible" r:id="rId12"/>
  </sheets>
  <definedNames/>
  <calcPr calcId="191028" fullCalcOnLoad="1"/>
  <pivotCaches>
    <pivotCache xmlns:r="http://schemas.openxmlformats.org/officeDocument/2006/relationships" cacheId="734" r:id="rId13"/>
    <pivotCache xmlns:r="http://schemas.openxmlformats.org/officeDocument/2006/relationships" cacheId="735" r:id="rId14"/>
  </pivotCaches>
</workbook>
</file>

<file path=xl/styles.xml><?xml version="1.0" encoding="utf-8"?>
<styleSheet xmlns="http://schemas.openxmlformats.org/spreadsheetml/2006/main">
  <numFmts count="4">
    <numFmt numFmtId="164" formatCode="yyyy\-mm\-dd"/>
    <numFmt numFmtId="165" formatCode="0.0%"/>
    <numFmt numFmtId="166" formatCode="[$-409]d\-mmm\-yyyy;@"/>
    <numFmt numFmtId="167" formatCode="[$-409]d\-mmm\-yy;@"/>
  </numFmts>
  <fonts count="6">
    <font>
      <name val="Calibri"/>
      <family val="2"/>
      <color theme="1"/>
      <sz val="11"/>
      <scheme val="minor"/>
    </font>
    <font>
      <name val="Calibri"/>
      <b val="1"/>
      <color rgb="FF000000"/>
      <sz val="11"/>
    </font>
    <font>
      <name val="Calibri"/>
      <family val="2"/>
      <b val="1"/>
      <color theme="1"/>
      <sz val="11"/>
      <scheme val="minor"/>
    </font>
    <font>
      <name val="Calibri"/>
      <color rgb="FF000000"/>
      <sz val="11"/>
    </font>
    <font>
      <name val="Aptos Narrow"/>
      <charset val="1"/>
      <color rgb="FF242424"/>
      <sz val="11"/>
    </font>
    <font>
      <name val="Calibri"/>
      <charset val="1"/>
      <color rgb="FF000000"/>
      <sz val="11"/>
    </font>
  </fonts>
  <fills count="10">
    <fill>
      <patternFill/>
    </fill>
    <fill>
      <patternFill patternType="gray125"/>
    </fill>
    <fill>
      <patternFill patternType="solid">
        <fgColor rgb="FFFFEBEE"/>
        <bgColor rgb="FFFFEBEE"/>
      </patternFill>
    </fill>
    <fill>
      <patternFill patternType="solid">
        <fgColor rgb="FFC6EFCE"/>
        <bgColor indexed="64"/>
      </patternFill>
    </fill>
    <fill>
      <patternFill patternType="solid">
        <fgColor rgb="FFFFFF00"/>
        <bgColor indexed="64"/>
      </patternFill>
    </fill>
    <fill>
      <patternFill patternType="solid">
        <fgColor theme="3" tint="0.7999816888943144"/>
        <bgColor indexed="64"/>
      </patternFill>
    </fill>
    <fill>
      <patternFill patternType="solid">
        <fgColor rgb="FFFFC000"/>
        <bgColor indexed="64"/>
      </patternFill>
    </fill>
    <fill>
      <patternFill patternType="solid">
        <fgColor theme="9" tint="0.5999938962981048"/>
        <bgColor indexed="64"/>
      </patternFill>
    </fill>
    <fill>
      <patternFill patternType="solid">
        <fgColor theme="5" tint="0.3999755851924192"/>
        <bgColor indexed="64"/>
      </patternFill>
    </fill>
    <fill>
      <patternFill patternType="solid">
        <fgColor theme="4" tint="0.7999816888943144"/>
        <bgColor theme="4" tint="0.799981688894314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theme="4" tint="0.3999755851924192"/>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2"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applyAlignment="1" pivotButton="0" quotePrefix="0" xfId="0">
      <alignment horizontal="left" vertical="center" wrapText="1"/>
    </xf>
    <xf numFmtId="14" fontId="0" fillId="0" borderId="1" applyAlignment="1" pivotButton="0" quotePrefix="0" xfId="0">
      <alignment horizontal="left" vertical="center" wrapText="1"/>
    </xf>
    <xf numFmtId="0" fontId="0" fillId="0" borderId="2" pivotButton="0" quotePrefix="0" xfId="0"/>
    <xf numFmtId="0" fontId="2" fillId="0" borderId="0" pivotButton="0" quotePrefix="0" xfId="0"/>
    <xf numFmtId="0" fontId="2" fillId="0" borderId="2" pivotButton="0" quotePrefix="0" xfId="0"/>
    <xf numFmtId="0" fontId="0" fillId="3" borderId="2" pivotButton="0" quotePrefix="0" xfId="0"/>
    <xf numFmtId="166" fontId="1" fillId="2" borderId="1" applyAlignment="1" pivotButton="0" quotePrefix="0" xfId="0">
      <alignment horizontal="center" vertical="center" wrapText="1"/>
    </xf>
    <xf numFmtId="166" fontId="0" fillId="0" borderId="1" pivotButton="0" quotePrefix="0" xfId="0"/>
    <xf numFmtId="166" fontId="0" fillId="0" borderId="0" pivotButton="0" quotePrefix="0" xfId="0"/>
    <xf numFmtId="16" fontId="0" fillId="0" borderId="0" pivotButton="0" quotePrefix="0" xfId="0"/>
    <xf numFmtId="0" fontId="2"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3" fillId="2" borderId="2" applyAlignment="1" pivotButton="0" quotePrefix="0" xfId="0">
      <alignment horizontal="center" vertical="center" wrapText="1"/>
    </xf>
    <xf numFmtId="0" fontId="0" fillId="7" borderId="2" pivotButton="0" quotePrefix="0" xfId="0"/>
    <xf numFmtId="0" fontId="0" fillId="7" borderId="0" pivotButton="0" quotePrefix="0" xfId="0"/>
    <xf numFmtId="0" fontId="4" fillId="7" borderId="2" pivotButton="0" quotePrefix="0" xfId="0"/>
    <xf numFmtId="0" fontId="0" fillId="8" borderId="2" pivotButton="0" quotePrefix="0" xfId="0"/>
    <xf numFmtId="0" fontId="0" fillId="8" borderId="0" pivotButton="0" quotePrefix="0" xfId="0"/>
    <xf numFmtId="0" fontId="0" fillId="3" borderId="0" pivotButton="0" quotePrefix="0" xfId="0"/>
    <xf numFmtId="167" fontId="3" fillId="2" borderId="2" applyAlignment="1" pivotButton="0" quotePrefix="0" xfId="0">
      <alignment horizontal="center" vertical="center" wrapText="1"/>
    </xf>
    <xf numFmtId="167" fontId="0" fillId="3" borderId="2" pivotButton="0" quotePrefix="0" xfId="0"/>
    <xf numFmtId="167" fontId="0" fillId="7" borderId="2" pivotButton="0" quotePrefix="0" xfId="0"/>
    <xf numFmtId="167" fontId="5" fillId="3" borderId="2" pivotButton="0" quotePrefix="0" xfId="0"/>
    <xf numFmtId="167" fontId="5" fillId="7" borderId="2" pivotButton="0" quotePrefix="0" xfId="0"/>
    <xf numFmtId="167" fontId="0" fillId="8" borderId="2" pivotButton="0" quotePrefix="0" xfId="0"/>
    <xf numFmtId="167" fontId="0" fillId="0" borderId="0" pivotButton="0" quotePrefix="0" xfId="0"/>
    <xf numFmtId="0" fontId="0" fillId="0" borderId="0" pivotButton="1" quotePrefix="0" xfId="0"/>
    <xf numFmtId="0" fontId="2" fillId="9" borderId="3" pivotButton="0" quotePrefix="0" xfId="0"/>
  </cellXfs>
  <cellStyles count="1">
    <cellStyle name="Normal" xfId="0" builtinId="0"/>
  </cellStyles>
  <dxfs count="9">
    <dxf>
      <fill>
        <patternFill patternType="solid">
          <fgColor rgb="FFFFC7CE"/>
          <bgColor rgb="FFFFC7CE"/>
        </patternFill>
      </fill>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D9D9D9"/>
          <bgColor rgb="00D9D9D9"/>
        </patternFill>
      </fill>
    </dxf>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pivotCacheDefinition" Target="/xl/pivotCache/pivotCacheDefinition2.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'Completed', 'In Progress', 'Not Started' by 'Tasks Category'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tx>
            <strRef>
              <f>Sheet7!B1</f>
              <strCache>
                <ptCount val="1"/>
                <pt idx="0">
                  <v>Completed</v>
                </pt>
              </strCache>
            </strRef>
          </tx>
          <spPr>
            <a:solidFill xmlns:a="http://schemas.openxmlformats.org/drawingml/2006/main">
              <a:schemeClr val="accent1"/>
            </a:solidFill>
            <a:ln xmlns:a="http://schemas.openxmlformats.org/drawingml/2006/main">
              <a:noFill/>
              <a:prstDash val="solid"/>
            </a:ln>
          </spPr>
          <invertIfNegative val="0"/>
          <cat>
            <strRef>
              <f>Sheet7!$A$2:$A$4</f>
              <strCache>
                <ptCount val="3"/>
                <pt idx="0">
                  <v>Backend</v>
                </pt>
                <pt idx="1">
                  <v>Database</v>
                </pt>
                <pt idx="2">
                  <v>Frontend</v>
                </pt>
              </strCache>
            </strRef>
          </cat>
          <val>
            <numRef>
              <f>Sheet7!$B$2:$B$4</f>
              <numCache>
                <formatCode>General</formatCode>
                <ptCount val="3"/>
                <pt idx="1">
                  <v>2</v>
                </pt>
                <pt idx="2">
                  <v>2</v>
                </pt>
              </numCache>
            </numRef>
          </val>
        </ser>
        <ser>
          <idx val="1"/>
          <order val="1"/>
          <tx>
            <strRef>
              <f>Sheet7!C1</f>
              <strCache>
                <ptCount val="1"/>
                <pt idx="0">
                  <v>In Progress</v>
                </pt>
              </strCache>
            </strRef>
          </tx>
          <spPr>
            <a:solidFill xmlns:a="http://schemas.openxmlformats.org/drawingml/2006/main">
              <a:schemeClr val="accent2"/>
            </a:solidFill>
            <a:ln xmlns:a="http://schemas.openxmlformats.org/drawingml/2006/main">
              <a:noFill/>
              <a:prstDash val="solid"/>
            </a:ln>
          </spPr>
          <invertIfNegative val="0"/>
          <cat>
            <strRef>
              <f>Sheet7!$A$2:$A$4</f>
              <strCache>
                <ptCount val="3"/>
                <pt idx="0">
                  <v>Backend</v>
                </pt>
                <pt idx="1">
                  <v>Database</v>
                </pt>
                <pt idx="2">
                  <v>Frontend</v>
                </pt>
              </strCache>
            </strRef>
          </cat>
          <val>
            <numRef>
              <f>Sheet7!$C$2:$C$4</f>
              <numCache>
                <formatCode>General</formatCode>
                <ptCount val="3"/>
                <pt idx="0">
                  <v>1</v>
                </pt>
                <pt idx="1">
                  <v>4</v>
                </pt>
                <pt idx="2">
                  <v>3</v>
                </pt>
              </numCache>
            </numRef>
          </val>
        </ser>
        <ser>
          <idx val="2"/>
          <order val="2"/>
          <tx>
            <strRef>
              <f>Sheet7!D1</f>
              <strCache>
                <ptCount val="1"/>
                <pt idx="0">
                  <v>Not Started</v>
                </pt>
              </strCache>
            </strRef>
          </tx>
          <spPr>
            <a:solidFill xmlns:a="http://schemas.openxmlformats.org/drawingml/2006/main">
              <a:schemeClr val="accent3"/>
            </a:solidFill>
            <a:ln xmlns:a="http://schemas.openxmlformats.org/drawingml/2006/main">
              <a:noFill/>
              <a:prstDash val="solid"/>
            </a:ln>
          </spPr>
          <invertIfNegative val="0"/>
          <cat>
            <strRef>
              <f>Sheet7!$A$2:$A$4</f>
              <strCache>
                <ptCount val="3"/>
                <pt idx="0">
                  <v>Backend</v>
                </pt>
                <pt idx="1">
                  <v>Database</v>
                </pt>
                <pt idx="2">
                  <v>Frontend</v>
                </pt>
              </strCache>
            </strRef>
          </cat>
          <val>
            <numRef>
              <f>Sheet7!$D$2:$D$4</f>
              <numCache>
                <formatCode>General</formatCode>
                <ptCount val="3"/>
                <pt idx="0">
                  <v>17</v>
                </pt>
              </numCache>
            </numRef>
          </val>
        </ser>
        <dLbls>
          <showLegendKey val="0"/>
          <showVal val="0"/>
          <showCatName val="0"/>
          <showSerName val="0"/>
          <showPercent val="0"/>
          <showBubbleSize val="0"/>
        </dLbls>
        <gapWidth val="160"/>
        <overlap val="-30"/>
        <axId val="1485849607"/>
        <axId val="1485851655"/>
      </barChart>
      <catAx>
        <axId val="1485849607"/>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Tasks Category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485851655"/>
        <crosses val="autoZero"/>
        <auto val="1"/>
        <lblAlgn val="ctr"/>
        <lblOffset val="100"/>
        <noMultiLvlLbl val="0"/>
      </catAx>
      <valAx>
        <axId val="14858516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4858496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1</col>
      <colOff>561975</colOff>
      <row>5</row>
      <rowOff>19050</rowOff>
    </from>
    <to>
      <col>9</col>
      <colOff>257175</colOff>
      <row>19</row>
      <rowOff>95250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028.74279375" createdVersion="8" refreshedVersion="8" minRefreshableVersion="3" recordCount="30" r:id="rId1">
  <cacheSource type="worksheet">
    <worksheetSource ref="A1:M1048576" sheet="Tasks"/>
  </cacheSource>
  <cacheFields count="13">
    <cacheField name="Tasks ID" uniqueList="1" numFmtId="0" sqlType="0" hierarchy="0" level="0" databaseField="1">
      <sharedItems count="0" containsBlank="1"/>
    </cacheField>
    <cacheField name="Tasks List" uniqueList="1" numFmtId="0" sqlType="0" hierarchy="0" level="0" databaseField="1">
      <sharedItems count="30" containsBlank="1">
        <s v="Dashboard"/>
        <s v="Study Management"/>
        <s v="Data Integration"/>
        <s v="Trail Data Management"/>
        <s v="Data Manager.AI"/>
        <s v="DB Schema - Dashboard"/>
        <s v="DB Schema - Study Management"/>
        <s v="DB Schema - Data Integration"/>
        <s v="DB Schema - Trail Data Management"/>
        <s v="DB Schema - DataManager.AI"/>
        <s v="Populate Trail Data into PostgreSQL"/>
        <s v="Study Management - CRUD - DB"/>
        <s v="Creating and Integrate PostgreSQL DBs"/>
        <s v="Make Refresh, Pause, Actions - Dynamic"/>
        <s v="Scheduler"/>
        <s v="Integrate Integration Logs"/>
        <s v="Build Data Quality Checks Agent"/>
        <s v="Build Reconcilation Agent"/>
        <s v="Data Fetch Agent"/>
        <s v="DQ Processing Agent"/>
        <s v="Protocol Check Agent"/>
        <s v="Task Manager Agent"/>
        <s v="Test Study Management"/>
        <s v="Test Data Integration"/>
        <s v="Test Trail Data Management"/>
        <s v="Test Data Manager.AI"/>
        <s v="Maintain Complete Workflow "/>
        <s v="Real-Time Monitoring"/>
        <s v="Monitor.ai/Notifications"/>
        <m/>
      </sharedItems>
    </cacheField>
    <cacheField name="Tasks Category" uniqueList="1" numFmtId="0" sqlType="0" hierarchy="0" level="0" databaseField="1">
      <sharedItems count="4" containsBlank="1">
        <s v="Frontend"/>
        <s v="Database"/>
        <s v="Backend"/>
        <m/>
      </sharedItems>
    </cacheField>
    <cacheField name="Task Map" uniqueList="1" numFmtId="0" sqlType="0" hierarchy="0" level="0" databaseField="1">
      <sharedItems count="0" containsBlank="1"/>
    </cacheField>
    <cacheField name="Task Discreption" uniqueList="1" numFmtId="0" sqlType="0" hierarchy="0" level="0" databaseField="1">
      <sharedItems count="0" containsBlank="1"/>
    </cacheField>
    <cacheField name="Assigned To" uniqueList="1" numFmtId="0" sqlType="0" hierarchy="0" level="0" databaseField="1">
      <sharedItems count="0" containsBlank="1"/>
    </cacheField>
    <cacheField name="Start Date" uniqueList="1" numFmtId="167" sqlType="0" hierarchy="0" level="0" databaseField="1">
      <sharedItems count="0" containsBlank="1" containsDate="1" containsNonDate="0" containsString="0" minDate="2026-01-02T00:00:00" maxDate="2026-01-09T00:00:00"/>
    </cacheField>
    <cacheField name="Target Date" uniqueList="1" numFmtId="167" sqlType="0" hierarchy="0" level="0" databaseField="1">
      <sharedItems count="0" containsBlank="1" containsDate="1" containsNonDate="0" containsString="0" minDate="2025-01-06T00:00:00" maxDate="2026-01-10T00:00:00"/>
    </cacheField>
    <cacheField name="Actual End Date" uniqueList="1" numFmtId="0" sqlType="0" hierarchy="0" level="0" databaseField="1">
      <sharedItems count="0" containsBlank="1" containsDate="1" containsNonDate="0" containsString="0" minDate="2025-01-06T00:00:00" maxDate="2026-01-07T00:00:00"/>
    </cacheField>
    <cacheField name="Status" uniqueList="1" numFmtId="0" sqlType="0" hierarchy="0" level="0" databaseField="1">
      <sharedItems count="4" containsBlank="1">
        <s v="Completed"/>
        <s v="In Progress"/>
        <s v="Not Started"/>
        <m/>
      </sharedItems>
    </cacheField>
    <cacheField name="% Complete" uniqueList="1" numFmtId="0" sqlType="0" hierarchy="0" level="0" databaseField="1">
      <sharedItems count="0" containsBlank="1" containsNonDate="0" containsString="0"/>
    </cacheField>
    <cacheField name="Dependencies" uniqueList="1" numFmtId="0" sqlType="0" hierarchy="0" level="0" databaseField="1">
      <sharedItems count="0" containsBlank="1" containsNonDate="0" containsString="0"/>
    </cacheField>
    <cacheField name="Comments" uniqueList="1" numFmtId="0" sqlType="0" hierarchy="0" level="0" databaseField="1">
      <sharedItems count="0" containsBlank="1" containsNonDate="0" containsString="0"/>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028.74747962963" createdVersion="8" refreshedVersion="8" minRefreshableVersion="3" recordCount="29" r:id="rId1">
  <cacheSource type="worksheet">
    <worksheetSource ref="A1:M30" sheet="Tasks"/>
  </cacheSource>
  <cacheFields count="13">
    <cacheField name="Tasks ID" uniqueList="1" numFmtId="0" sqlType="0" hierarchy="0" level="0" databaseField="1">
      <sharedItems count="0"/>
    </cacheField>
    <cacheField name="Tasks List" uniqueList="1" numFmtId="0" sqlType="0" hierarchy="0" level="0" databaseField="1">
      <sharedItems count="0"/>
    </cacheField>
    <cacheField name="Tasks Category" uniqueList="1" numFmtId="0" sqlType="0" hierarchy="0" level="0" databaseField="1">
      <sharedItems count="3">
        <s v="Frontend"/>
        <s v="Database"/>
        <s v="Backend"/>
      </sharedItems>
    </cacheField>
    <cacheField name="Task Map" uniqueList="1" numFmtId="0" sqlType="0" hierarchy="0" level="0" databaseField="1">
      <sharedItems count="0"/>
    </cacheField>
    <cacheField name="Task Discreption" uniqueList="1" numFmtId="0" sqlType="0" hierarchy="0" level="0" databaseField="1">
      <sharedItems count="0" containsBlank="1"/>
    </cacheField>
    <cacheField name="Assigned To" uniqueList="1" numFmtId="0" sqlType="0" hierarchy="0" level="0" databaseField="1">
      <sharedItems count="9">
        <s v="Arthi/Tejasree"/>
        <s v="Ritesh"/>
        <s v="Deepta"/>
        <s v="Hanif"/>
        <s v="Ruthra"/>
        <s v="Priyeshwer"/>
        <s v="Ruthra/Hanif"/>
        <s v="Aarthi"/>
        <s v="Deepta/Tejashree"/>
      </sharedItems>
    </cacheField>
    <cacheField name="Start Date" uniqueList="1" numFmtId="167" sqlType="0" hierarchy="0" level="0" databaseField="1">
      <sharedItems count="0" containsBlank="1" containsDate="1" containsNonDate="0" containsString="0" minDate="2026-01-02T00:00:00" maxDate="2026-01-09T00:00:00"/>
    </cacheField>
    <cacheField name="Target Date" uniqueList="1" numFmtId="167" sqlType="0" hierarchy="0" level="0" databaseField="1">
      <sharedItems count="0" containsBlank="1" containsDate="1" containsNonDate="0" containsString="0" minDate="2025-01-06T00:00:00" maxDate="2026-01-10T00:00:00"/>
    </cacheField>
    <cacheField name="Actual End Date" uniqueList="1" numFmtId="0" sqlType="0" hierarchy="0" level="0" databaseField="1">
      <sharedItems count="0" containsBlank="1" containsDate="1" containsNonDate="0" containsString="0" minDate="2025-01-06T00:00:00" maxDate="2026-01-07T00:00:00"/>
    </cacheField>
    <cacheField name="Status" uniqueList="1" numFmtId="0" sqlType="0" hierarchy="0" level="0" databaseField="1">
      <sharedItems count="3">
        <s v="Completed"/>
        <s v="In Progress"/>
        <s v="Not Started"/>
      </sharedItems>
    </cacheField>
    <cacheField name="% Complete" uniqueList="1" numFmtId="0" sqlType="0" hierarchy="0" level="0" databaseField="1">
      <sharedItems count="0" containsBlank="1" containsNonDate="0" containsString="0"/>
    </cacheField>
    <cacheField name="Dependencies" uniqueList="1" numFmtId="0" sqlType="0" hierarchy="0" level="0" databaseField="1">
      <sharedItems count="0" containsBlank="1" containsNonDate="0" containsString="0"/>
    </cacheField>
    <cacheField name="Comments" uniqueList="1" numFmtId="0" sqlType="0" hierarchy="0" level="0" databaseField="1">
      <sharedItems count="0" containsBlank="1" containsNonDate="0" containsString="0"/>
    </cacheField>
  </cacheFields>
</pivotCacheDefinition>
</file>

<file path=xl/pivotCache/pivotCacheRecords1.xml><?xml version="1.0" encoding="utf-8"?>
<pivotCacheRecords xmlns="http://schemas.openxmlformats.org/spreadsheetml/2006/main" count="30">
  <r>
    <s v="Dashboard"/>
    <x v="0"/>
    <x v="0"/>
    <s v="Dashboard"/>
    <m/>
    <s v="Arthi/Tejasree"/>
    <d v="2026-01-02T00:00:00"/>
    <d v="2026-01-05T00:00:00"/>
    <d v="2026-01-05T00:00:00"/>
    <x v="0"/>
    <m/>
    <m/>
    <m/>
  </r>
  <r>
    <s v="Study Management"/>
    <x v="1"/>
    <x v="0"/>
    <s v="Study Management"/>
    <m/>
    <s v="Arthi/Tejasree"/>
    <d v="2026-01-02T00:00:00"/>
    <d v="2026-01-05T00:00:00"/>
    <d v="2026-01-05T00:00:00"/>
    <x v="0"/>
    <m/>
    <m/>
    <m/>
  </r>
  <r>
    <s v="Data Integration"/>
    <x v="2"/>
    <x v="0"/>
    <s v="Data Integration"/>
    <m/>
    <s v="Arthi/Tejasree"/>
    <d v="2026-01-05T00:00:00"/>
    <d v="2026-01-07T00:00:00"/>
    <m/>
    <x v="1"/>
    <m/>
    <m/>
    <m/>
  </r>
  <r>
    <s v="Trail Data Management"/>
    <x v="3"/>
    <x v="0"/>
    <s v="Trail Data Management"/>
    <m/>
    <s v="Arthi/Tejasree"/>
    <d v="2026-01-05T00:00:00"/>
    <d v="2026-01-08T00:00:00"/>
    <m/>
    <x v="1"/>
    <m/>
    <m/>
    <m/>
  </r>
  <r>
    <s v="Data Manager.AI"/>
    <x v="4"/>
    <x v="0"/>
    <s v="Data Manager.AI"/>
    <m/>
    <s v="Arthi/Tejasree"/>
    <d v="2026-01-05T00:00:00"/>
    <d v="2026-01-08T00:00:00"/>
    <m/>
    <x v="1"/>
    <m/>
    <m/>
    <m/>
  </r>
  <r>
    <s v="DB Schema - Dashboard"/>
    <x v="5"/>
    <x v="1"/>
    <s v="Dashboard"/>
    <m/>
    <s v="Ritesh"/>
    <d v="2026-01-02T00:00:00"/>
    <d v="2025-01-06T00:00:00"/>
    <d v="2025-01-06T00:00:00"/>
    <x v="0"/>
    <m/>
    <m/>
    <m/>
  </r>
  <r>
    <s v="DB Schema - Study Management"/>
    <x v="6"/>
    <x v="1"/>
    <s v="Study Management"/>
    <m/>
    <s v="Ritesh"/>
    <d v="2026-01-06T00:00:00"/>
    <d v="2026-01-07T00:00:00"/>
    <m/>
    <x v="1"/>
    <m/>
    <m/>
    <m/>
  </r>
  <r>
    <s v="DB Schema - Data Integration"/>
    <x v="7"/>
    <x v="1"/>
    <s v="Data Integration"/>
    <m/>
    <s v="Deepta"/>
    <d v="2026-01-05T00:00:00"/>
    <d v="2026-01-06T00:00:00"/>
    <d v="2026-01-06T00:00:00"/>
    <x v="0"/>
    <m/>
    <m/>
    <m/>
  </r>
  <r>
    <s v="DB Schema - Trail Data Management"/>
    <x v="8"/>
    <x v="1"/>
    <s v="Trail Data Management"/>
    <m/>
    <s v="Ritesh"/>
    <d v="2026-01-06T00:00:00"/>
    <d v="2026-01-07T00:00:00"/>
    <m/>
    <x v="1"/>
    <m/>
    <m/>
    <m/>
  </r>
  <r>
    <s v="DB Schema - DataManager.AI"/>
    <x v="9"/>
    <x v="1"/>
    <s v="Data Manager.AI"/>
    <m/>
    <s v="Hanif"/>
    <d v="2026-01-06T00:00:00"/>
    <d v="2026-01-07T00:00:00"/>
    <m/>
    <x v="1"/>
    <m/>
    <m/>
    <m/>
  </r>
  <r>
    <s v="Populate Trail Data into PostgreSQL"/>
    <x v="10"/>
    <x v="1"/>
    <s v="Trail Data Management"/>
    <s v="Populate EDC Data(DM,SV,DS,AE...) into PostgreSQL"/>
    <s v="Ruthra"/>
    <d v="2026-01-08T00:00:00"/>
    <d v="2026-01-09T00:00:00"/>
    <m/>
    <x v="1"/>
    <m/>
    <m/>
    <m/>
  </r>
  <r>
    <s v="Study Management - CRUD - DB"/>
    <x v="11"/>
    <x v="2"/>
    <s v="Study Management"/>
    <s v="User should be able to create new studies, sites,studycontacts, vendors, documents."/>
    <s v="Priyeshwer"/>
    <m/>
    <m/>
    <m/>
    <x v="1"/>
    <m/>
    <m/>
    <m/>
  </r>
  <r>
    <s v="Creating and Integrate PostgreSQL DBs"/>
    <x v="12"/>
    <x v="2"/>
    <s v="Data Integration"/>
    <m/>
    <s v="Priyeshwer"/>
    <m/>
    <m/>
    <m/>
    <x v="2"/>
    <m/>
    <m/>
    <m/>
  </r>
  <r>
    <s v="Make Refresh, Pause, Actions - Dynamic"/>
    <x v="13"/>
    <x v="2"/>
    <s v="Data Integration"/>
    <m/>
    <s v="Priyeshwer"/>
    <m/>
    <m/>
    <m/>
    <x v="2"/>
    <m/>
    <m/>
    <m/>
  </r>
  <r>
    <s v="Scheduler"/>
    <x v="14"/>
    <x v="2"/>
    <s v="Data Integration"/>
    <m/>
    <s v="Deepta"/>
    <m/>
    <m/>
    <m/>
    <x v="2"/>
    <m/>
    <m/>
    <m/>
  </r>
  <r>
    <s v="Integrate Integration Logs"/>
    <x v="15"/>
    <x v="2"/>
    <s v="Data Integration"/>
    <m/>
    <s v="Priyeshwer"/>
    <m/>
    <m/>
    <m/>
    <x v="2"/>
    <m/>
    <m/>
    <m/>
  </r>
  <r>
    <s v="Build Data Quality Checks Agent"/>
    <x v="16"/>
    <x v="2"/>
    <s v="Data Manager.AI"/>
    <m/>
    <s v="Ruthra/Hanif"/>
    <m/>
    <m/>
    <m/>
    <x v="2"/>
    <m/>
    <m/>
    <m/>
  </r>
  <r>
    <s v="Build Reconcilation Agent"/>
    <x v="17"/>
    <x v="2"/>
    <s v="Data Manager.AI"/>
    <m/>
    <s v="Ruthra/Hanif"/>
    <m/>
    <m/>
    <m/>
    <x v="2"/>
    <m/>
    <m/>
    <m/>
  </r>
  <r>
    <s v="Data Fetch Agent"/>
    <x v="18"/>
    <x v="2"/>
    <s v="Data Manager.AI"/>
    <m/>
    <s v="Ruthra/Hanif"/>
    <m/>
    <m/>
    <m/>
    <x v="2"/>
    <m/>
    <m/>
    <m/>
  </r>
  <r>
    <s v="DQ Processing Agent"/>
    <x v="19"/>
    <x v="2"/>
    <s v="Data Manager.AI"/>
    <m/>
    <s v="Ruthra/Hanif"/>
    <m/>
    <m/>
    <m/>
    <x v="2"/>
    <m/>
    <m/>
    <m/>
  </r>
  <r>
    <s v="Protocol Check Agent"/>
    <x v="20"/>
    <x v="2"/>
    <s v="Data Manager.AI"/>
    <m/>
    <s v="Ruthra/Hanif"/>
    <m/>
    <m/>
    <m/>
    <x v="2"/>
    <m/>
    <m/>
    <m/>
  </r>
  <r>
    <s v="Task Manager Agent"/>
    <x v="21"/>
    <x v="2"/>
    <s v="Data Manager.AI"/>
    <m/>
    <s v="Ruthra/Hanif"/>
    <m/>
    <m/>
    <m/>
    <x v="2"/>
    <m/>
    <m/>
    <m/>
  </r>
  <r>
    <s v="Test Study Management"/>
    <x v="22"/>
    <x v="2"/>
    <s v="Study Management"/>
    <m/>
    <s v="Ritesh"/>
    <m/>
    <m/>
    <m/>
    <x v="2"/>
    <m/>
    <m/>
    <m/>
  </r>
  <r>
    <s v="Test Data Integration"/>
    <x v="23"/>
    <x v="2"/>
    <s v="Data Integration"/>
    <m/>
    <s v="Ritesh"/>
    <m/>
    <m/>
    <m/>
    <x v="2"/>
    <m/>
    <m/>
    <m/>
  </r>
  <r>
    <s v="Test Trail Data Management"/>
    <x v="24"/>
    <x v="2"/>
    <s v="Trail Data Management"/>
    <m/>
    <s v="Ritesh"/>
    <m/>
    <m/>
    <m/>
    <x v="2"/>
    <m/>
    <m/>
    <m/>
  </r>
  <r>
    <s v="Test Data Manager.AI"/>
    <x v="25"/>
    <x v="2"/>
    <s v="Data Manager.AI"/>
    <m/>
    <s v="Ritesh"/>
    <m/>
    <m/>
    <m/>
    <x v="2"/>
    <m/>
    <m/>
    <m/>
  </r>
  <r>
    <s v="Maintain Complete Workflow "/>
    <x v="26"/>
    <x v="2"/>
    <s v="Data Manager.AI"/>
    <m/>
    <s v="Ritesh"/>
    <m/>
    <m/>
    <m/>
    <x v="2"/>
    <m/>
    <m/>
    <m/>
  </r>
  <r>
    <s v="Real-Time Monitoring"/>
    <x v="27"/>
    <x v="2"/>
    <s v="Data Integration"/>
    <m/>
    <s v="Aarthi"/>
    <m/>
    <m/>
    <m/>
    <x v="2"/>
    <m/>
    <m/>
    <m/>
  </r>
  <r>
    <s v="Monitor.ai/Notifications"/>
    <x v="28"/>
    <x v="2"/>
    <s v="Data Integration"/>
    <m/>
    <s v="Deepta/Tejashree"/>
    <m/>
    <m/>
    <m/>
    <x v="2"/>
    <m/>
    <m/>
    <m/>
  </r>
  <r>
    <m/>
    <x v="29"/>
    <x v="3"/>
    <m/>
    <m/>
    <m/>
    <m/>
    <m/>
    <m/>
    <x v="3"/>
    <m/>
    <m/>
    <m/>
  </r>
</pivotCacheRecords>
</file>

<file path=xl/pivotCache/pivotCacheRecords2.xml><?xml version="1.0" encoding="utf-8"?>
<pivotCacheRecords xmlns="http://schemas.openxmlformats.org/spreadsheetml/2006/main" count="30">
  <r>
    <s v="Dashboard"/>
    <x v="0"/>
    <x v="0"/>
    <s v="Dashboard"/>
    <m/>
    <s v="Arthi/Tejasree"/>
    <d v="2026-01-02T00:00:00"/>
    <d v="2026-01-05T00:00:00"/>
    <d v="2026-01-05T00:00:00"/>
    <x v="0"/>
    <m/>
    <m/>
    <m/>
  </r>
  <r>
    <s v="Study Management"/>
    <x v="1"/>
    <x v="0"/>
    <s v="Study Management"/>
    <m/>
    <s v="Arthi/Tejasree"/>
    <d v="2026-01-02T00:00:00"/>
    <d v="2026-01-05T00:00:00"/>
    <d v="2026-01-05T00:00:00"/>
    <x v="0"/>
    <m/>
    <m/>
    <m/>
  </r>
  <r>
    <s v="Data Integration"/>
    <x v="2"/>
    <x v="0"/>
    <s v="Data Integration"/>
    <m/>
    <s v="Arthi/Tejasree"/>
    <d v="2026-01-05T00:00:00"/>
    <d v="2026-01-07T00:00:00"/>
    <m/>
    <x v="1"/>
    <m/>
    <m/>
    <m/>
  </r>
  <r>
    <s v="Trail Data Management"/>
    <x v="3"/>
    <x v="0"/>
    <s v="Trail Data Management"/>
    <m/>
    <s v="Arthi/Tejasree"/>
    <d v="2026-01-05T00:00:00"/>
    <d v="2026-01-08T00:00:00"/>
    <m/>
    <x v="1"/>
    <m/>
    <m/>
    <m/>
  </r>
  <r>
    <s v="Data Manager.AI"/>
    <x v="4"/>
    <x v="0"/>
    <s v="Data Manager.AI"/>
    <m/>
    <s v="Arthi/Tejasree"/>
    <d v="2026-01-05T00:00:00"/>
    <d v="2026-01-08T00:00:00"/>
    <m/>
    <x v="1"/>
    <m/>
    <m/>
    <m/>
  </r>
  <r>
    <s v="DB Schema - Dashboard"/>
    <x v="5"/>
    <x v="1"/>
    <s v="Dashboard"/>
    <m/>
    <s v="Ritesh"/>
    <d v="2026-01-02T00:00:00"/>
    <d v="2025-01-06T00:00:00"/>
    <d v="2025-01-06T00:00:00"/>
    <x v="0"/>
    <m/>
    <m/>
    <m/>
  </r>
  <r>
    <s v="DB Schema - Study Management"/>
    <x v="6"/>
    <x v="1"/>
    <s v="Study Management"/>
    <m/>
    <s v="Ritesh"/>
    <d v="2026-01-06T00:00:00"/>
    <d v="2026-01-07T00:00:00"/>
    <m/>
    <x v="1"/>
    <m/>
    <m/>
    <m/>
  </r>
  <r>
    <s v="DB Schema - Data Integration"/>
    <x v="7"/>
    <x v="1"/>
    <s v="Data Integration"/>
    <m/>
    <s v="Deepta"/>
    <d v="2026-01-05T00:00:00"/>
    <d v="2026-01-06T00:00:00"/>
    <d v="2026-01-06T00:00:00"/>
    <x v="0"/>
    <m/>
    <m/>
    <m/>
  </r>
  <r>
    <s v="DB Schema - Trail Data Management"/>
    <x v="8"/>
    <x v="1"/>
    <s v="Trail Data Management"/>
    <m/>
    <s v="Ritesh"/>
    <d v="2026-01-06T00:00:00"/>
    <d v="2026-01-07T00:00:00"/>
    <m/>
    <x v="1"/>
    <m/>
    <m/>
    <m/>
  </r>
  <r>
    <s v="DB Schema - DataManager.AI"/>
    <x v="9"/>
    <x v="1"/>
    <s v="Data Manager.AI"/>
    <m/>
    <s v="Hanif"/>
    <d v="2026-01-06T00:00:00"/>
    <d v="2026-01-07T00:00:00"/>
    <m/>
    <x v="1"/>
    <m/>
    <m/>
    <m/>
  </r>
  <r>
    <s v="Populate Trail Data into PostgreSQL"/>
    <x v="10"/>
    <x v="1"/>
    <s v="Trail Data Management"/>
    <s v="Populate EDC Data(DM,SV,DS,AE...) into PostgreSQL"/>
    <s v="Ruthra"/>
    <d v="2026-01-08T00:00:00"/>
    <d v="2026-01-09T00:00:00"/>
    <m/>
    <x v="1"/>
    <m/>
    <m/>
    <m/>
  </r>
  <r>
    <s v="Study Management - CRUD - DB"/>
    <x v="11"/>
    <x v="2"/>
    <s v="Study Management"/>
    <s v="User should be able to create new studies, sites,studycontacts, vendors, documents."/>
    <s v="Priyeshwer"/>
    <m/>
    <m/>
    <m/>
    <x v="1"/>
    <m/>
    <m/>
    <m/>
  </r>
  <r>
    <s v="Creating and Integrate PostgreSQL DBs"/>
    <x v="12"/>
    <x v="2"/>
    <s v="Data Integration"/>
    <m/>
    <s v="Priyeshwer"/>
    <m/>
    <m/>
    <m/>
    <x v="2"/>
    <m/>
    <m/>
    <m/>
  </r>
  <r>
    <s v="Make Refresh, Pause, Actions - Dynamic"/>
    <x v="13"/>
    <x v="2"/>
    <s v="Data Integration"/>
    <m/>
    <s v="Priyeshwer"/>
    <m/>
    <m/>
    <m/>
    <x v="2"/>
    <m/>
    <m/>
    <m/>
  </r>
  <r>
    <s v="Scheduler"/>
    <x v="14"/>
    <x v="2"/>
    <s v="Data Integration"/>
    <m/>
    <s v="Deepta"/>
    <m/>
    <m/>
    <m/>
    <x v="2"/>
    <m/>
    <m/>
    <m/>
  </r>
  <r>
    <s v="Integrate Integration Logs"/>
    <x v="15"/>
    <x v="2"/>
    <s v="Data Integration"/>
    <m/>
    <s v="Priyeshwer"/>
    <m/>
    <m/>
    <m/>
    <x v="2"/>
    <m/>
    <m/>
    <m/>
  </r>
  <r>
    <s v="Build Data Quality Checks Agent"/>
    <x v="16"/>
    <x v="2"/>
    <s v="Data Manager.AI"/>
    <m/>
    <s v="Ruthra/Hanif"/>
    <m/>
    <m/>
    <m/>
    <x v="2"/>
    <m/>
    <m/>
    <m/>
  </r>
  <r>
    <s v="Build Reconcilation Agent"/>
    <x v="17"/>
    <x v="2"/>
    <s v="Data Manager.AI"/>
    <m/>
    <s v="Ruthra/Hanif"/>
    <m/>
    <m/>
    <m/>
    <x v="2"/>
    <m/>
    <m/>
    <m/>
  </r>
  <r>
    <s v="Data Fetch Agent"/>
    <x v="18"/>
    <x v="2"/>
    <s v="Data Manager.AI"/>
    <m/>
    <s v="Ruthra/Hanif"/>
    <m/>
    <m/>
    <m/>
    <x v="2"/>
    <m/>
    <m/>
    <m/>
  </r>
  <r>
    <s v="DQ Processing Agent"/>
    <x v="19"/>
    <x v="2"/>
    <s v="Data Manager.AI"/>
    <m/>
    <s v="Ruthra/Hanif"/>
    <m/>
    <m/>
    <m/>
    <x v="2"/>
    <m/>
    <m/>
    <m/>
  </r>
  <r>
    <s v="Protocol Check Agent"/>
    <x v="20"/>
    <x v="2"/>
    <s v="Data Manager.AI"/>
    <m/>
    <s v="Ruthra/Hanif"/>
    <m/>
    <m/>
    <m/>
    <x v="2"/>
    <m/>
    <m/>
    <m/>
  </r>
  <r>
    <s v="Task Manager Agent"/>
    <x v="21"/>
    <x v="2"/>
    <s v="Data Manager.AI"/>
    <m/>
    <s v="Ruthra/Hanif"/>
    <m/>
    <m/>
    <m/>
    <x v="2"/>
    <m/>
    <m/>
    <m/>
  </r>
  <r>
    <s v="Test Study Management"/>
    <x v="22"/>
    <x v="2"/>
    <s v="Study Management"/>
    <m/>
    <s v="Ritesh"/>
    <m/>
    <m/>
    <m/>
    <x v="2"/>
    <m/>
    <m/>
    <m/>
  </r>
  <r>
    <s v="Test Data Integration"/>
    <x v="23"/>
    <x v="2"/>
    <s v="Data Integration"/>
    <m/>
    <s v="Ritesh"/>
    <m/>
    <m/>
    <m/>
    <x v="2"/>
    <m/>
    <m/>
    <m/>
  </r>
  <r>
    <s v="Test Trail Data Management"/>
    <x v="24"/>
    <x v="2"/>
    <s v="Trail Data Management"/>
    <m/>
    <s v="Ritesh"/>
    <m/>
    <m/>
    <m/>
    <x v="2"/>
    <m/>
    <m/>
    <m/>
  </r>
  <r>
    <s v="Test Data Manager.AI"/>
    <x v="25"/>
    <x v="2"/>
    <s v="Data Manager.AI"/>
    <m/>
    <s v="Ritesh"/>
    <m/>
    <m/>
    <m/>
    <x v="2"/>
    <m/>
    <m/>
    <m/>
  </r>
  <r>
    <s v="Maintain Complete Workflow "/>
    <x v="26"/>
    <x v="2"/>
    <s v="Data Manager.AI"/>
    <m/>
    <s v="Ritesh"/>
    <m/>
    <m/>
    <m/>
    <x v="2"/>
    <m/>
    <m/>
    <m/>
  </r>
  <r>
    <s v="Real-Time Monitoring"/>
    <x v="27"/>
    <x v="2"/>
    <s v="Data Integration"/>
    <m/>
    <s v="Aarthi"/>
    <m/>
    <m/>
    <m/>
    <x v="2"/>
    <m/>
    <m/>
    <m/>
  </r>
  <r>
    <s v="Monitor.ai/Notifications"/>
    <x v="28"/>
    <x v="2"/>
    <s v="Data Integration"/>
    <m/>
    <s v="Deepta/Tejashree"/>
    <m/>
    <m/>
    <m/>
    <x v="2"/>
    <m/>
    <m/>
    <m/>
  </r>
  <r>
    <m/>
    <x v="29"/>
    <x v="3"/>
    <m/>
    <m/>
    <m/>
    <m/>
    <m/>
    <m/>
    <x v="3"/>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73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2:F8" firstHeaderRow="1" firstDataRow="2" firstDataCol="1"/>
  <pivotFields count="13">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items count="31">
        <item t="data" sd="1" x="16"/>
        <item t="data" sd="1" x="17"/>
        <item t="data" sd="1" x="12"/>
        <item t="data" sd="1" x="0"/>
        <item t="data" sd="1" x="18"/>
        <item t="data" sd="1" x="2"/>
        <item t="data" sd="1" x="4"/>
        <item t="data" sd="1" x="5"/>
        <item t="data" sd="1" x="7"/>
        <item t="data" sd="1" x="9"/>
        <item t="data" sd="1" x="6"/>
        <item t="data" sd="1" x="8"/>
        <item t="data" sd="1" x="19"/>
        <item t="data" sd="1" x="15"/>
        <item t="data" sd="1" x="26"/>
        <item t="data" sd="1" x="13"/>
        <item t="data" sd="1" x="28"/>
        <item t="data" sd="1" x="10"/>
        <item t="data" sd="1" x="20"/>
        <item t="data" sd="1" x="27"/>
        <item t="data" sd="1" x="14"/>
        <item t="data" sd="1" x="1"/>
        <item t="data" sd="1" x="11"/>
        <item t="data" sd="1" x="21"/>
        <item t="data" sd="1" x="23"/>
        <item t="data" sd="1" x="25"/>
        <item t="data" sd="1" x="22"/>
        <item t="data" sd="1" x="24"/>
        <item t="data" sd="1" x="3"/>
        <item t="data" sd="1" x="29"/>
        <item t="default" sd="1"/>
      </items>
    </pivotField>
    <pivotField axis="axisRow" showDropDowns="1" compact="0" outline="0" subtotalTop="1" dragToRow="1" dragToCol="1" dragToPage="1" dragToData="1" dragOff="1" showAll="0" topAutoShow="1" itemPageCount="10" sortType="manual" defaultSubtotal="1">
      <items count="5">
        <item t="data" sd="1" x="2"/>
        <item t="data" sd="1" x="1"/>
        <item t="data" sd="1" x="0"/>
        <item t="data" sd="1" x="3"/>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dataField="1" showDropDowns="1" compact="0" outline="0"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2"/>
  </rowFields>
  <rowItems count="5">
    <i t="data" r="0" i="0">
      <x v="0"/>
    </i>
    <i t="data" r="0" i="0">
      <x v="1"/>
    </i>
    <i t="data" r="0" i="0">
      <x v="2"/>
    </i>
    <i t="data" r="0" i="0">
      <x v="3"/>
    </i>
    <i t="grand" r="0" i="0">
      <x v="0"/>
    </i>
  </rowItems>
  <colFields count="1">
    <field x="9"/>
  </colFields>
  <colItems count="5">
    <i t="data" r="0" i="0">
      <x v="0"/>
    </i>
    <i t="data" r="0" i="0">
      <x v="1"/>
    </i>
    <i t="data" r="0" i="0">
      <x v="2"/>
    </i>
    <i t="data" r="0" i="0">
      <x v="3"/>
    </i>
    <i t="grand" r="0" i="0">
      <x v="0"/>
    </i>
  </colItems>
  <dataFields count="1">
    <dataField name="Count of Status" fld="9"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2" cacheId="7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2:B12" firstHeaderRow="1" firstDataRow="1" firstDataCol="1"/>
  <pivotFields count="13">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dataField="1" showDropDowns="1" compact="0" outline="0" subtotalTop="1" dragToRow="1" dragToCol="1" dragToPage="1" dragToData="1" dragOff="1" showAll="0" topAutoShow="1" itemPageCount="10" sortType="descending" defaultSubtotal="1">
      <items count="10">
        <item t="data" sd="1" x="7"/>
        <item t="data" sd="1" x="0"/>
        <item t="data" sd="1" x="2"/>
        <item t="data" sd="1" x="8"/>
        <item t="data" sd="1" x="3"/>
        <item t="data" sd="1" x="5"/>
        <item t="data" sd="1" x="1"/>
        <item t="data" sd="1" x="4"/>
        <item t="data" sd="1" x="6"/>
        <item t="default" sd="1"/>
      </items>
      <autoSortScope>
        <pivotArea type="normal" dataOnly="0" outline="0" fieldPosition="0">
          <references count="1">
            <reference field="4294967294" selected="0">
              <x v="0"/>
            </reference>
          </references>
        </pivotArea>
      </autoSortScope>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5"/>
  </rowFields>
  <rowItems count="10">
    <i t="data" r="0" i="0">
      <x v="6"/>
    </i>
    <i t="data" r="0" i="0">
      <x v="8"/>
    </i>
    <i t="data" r="0" i="0">
      <x v="1"/>
    </i>
    <i t="data" r="0" i="0">
      <x v="5"/>
    </i>
    <i t="data" r="0" i="0">
      <x v="2"/>
    </i>
    <i t="data" r="0" i="0">
      <x v="7"/>
    </i>
    <i t="data" r="0" i="0">
      <x v="0"/>
    </i>
    <i t="data" r="0" i="0">
      <x v="3"/>
    </i>
    <i t="data" r="0" i="0">
      <x v="4"/>
    </i>
    <i t="grand" r="0" i="0">
      <x v="0"/>
    </i>
  </rowItems>
  <colItems count="1">
    <i t="data" r="0" i="0"/>
  </colItems>
  <dataFields count="1">
    <dataField name="Count of Assigned To" fld="5"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3" cacheId="7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2:E13" firstHeaderRow="1" firstDataRow="2" firstDataCol="1"/>
  <pivotFields count="13">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dataField="1" showDropDowns="1" compact="0" outline="0" subtotalTop="1" dragToRow="1" dragToCol="1" dragToPage="1" dragToData="1" dragOff="1" showAll="0" topAutoShow="1" itemPageCount="10" sortType="descending" defaultSubtotal="1">
      <items count="10">
        <item t="data" sd="1" x="7"/>
        <item t="data" sd="1" x="0"/>
        <item t="data" sd="1" x="2"/>
        <item t="data" sd="1" x="8"/>
        <item t="data" sd="1" x="3"/>
        <item t="data" sd="1" x="5"/>
        <item t="data" sd="1" x="1"/>
        <item t="data" sd="1" x="4"/>
        <item t="data" sd="1" x="6"/>
        <item t="default" sd="1"/>
      </items>
      <autoSortScope>
        <pivotArea type="normal" dataOnly="0" outline="0" fieldPosition="0">
          <references count="1">
            <reference field="4294967294" selected="0">
              <x v="0"/>
            </reference>
          </references>
        </pivotArea>
      </autoSortScope>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descending" defaultSubtotal="1">
      <items count="4">
        <item t="data" sd="1" x="0"/>
        <item t="data" sd="1" x="1"/>
        <item t="data" sd="1" x="2"/>
        <item t="default" sd="1"/>
      </items>
      <autoSortScope>
        <pivotArea type="normal" dataOnly="0" outline="0" fieldPosition="0">
          <references count="1">
            <reference field="4294967294" selected="0">
              <x v="0"/>
            </reference>
          </references>
        </pivotArea>
      </autoSortScope>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5"/>
  </rowFields>
  <rowItems count="10">
    <i t="data" r="0" i="0">
      <x v="6"/>
    </i>
    <i t="data" r="0" i="0">
      <x v="8"/>
    </i>
    <i t="data" r="0" i="0">
      <x v="1"/>
    </i>
    <i t="data" r="0" i="0">
      <x v="5"/>
    </i>
    <i t="data" r="0" i="0">
      <x v="2"/>
    </i>
    <i t="data" r="0" i="0">
      <x v="7"/>
    </i>
    <i t="data" r="0" i="0">
      <x v="0"/>
    </i>
    <i t="data" r="0" i="0">
      <x v="3"/>
    </i>
    <i t="data" r="0" i="0">
      <x v="4"/>
    </i>
    <i t="grand" r="0" i="0">
      <x v="0"/>
    </i>
  </rowItems>
  <colFields count="1">
    <field x="9"/>
  </colFields>
  <colItems count="4">
    <i t="data" r="0" i="0">
      <x v="2"/>
    </i>
    <i t="data" r="0" i="0">
      <x v="1"/>
    </i>
    <i t="data" r="0" i="0">
      <x v="0"/>
    </i>
    <i t="grand" r="0" i="0">
      <x v="0"/>
    </i>
  </colItems>
  <dataFields count="1">
    <dataField name="Count of Assigned To" fld="5"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4" cacheId="7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2:F18" firstHeaderRow="1" firstDataRow="2" firstDataCol="2"/>
  <pivotFields count="13">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dataField="1" showDropDowns="1" compact="0" outline="0" subtotalTop="1" dragToRow="1" dragToCol="1" dragToPage="1" dragToData="1" dragOff="1" showAll="0" topAutoShow="1" itemPageCount="10" sortType="manual" defaultSubtotal="1">
      <items count="4">
        <item t="data" sd="1" x="2"/>
        <item t="data" sd="1" x="1"/>
        <item t="data" sd="1" x="0"/>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descending" defaultSubtotal="1">
      <items count="10">
        <item t="data" sd="1" x="7"/>
        <item t="data" sd="1" x="0"/>
        <item t="data" sd="1" x="2"/>
        <item t="data" sd="1" x="8"/>
        <item t="data" sd="1" x="3"/>
        <item t="data" sd="1" x="5"/>
        <item t="data" sd="1" x="1"/>
        <item t="data" sd="1" x="4"/>
        <item t="data" sd="1" x="6"/>
        <item t="default" sd="1"/>
      </items>
      <autoSortScope>
        <pivotArea type="normal" dataOnly="0" outline="0" fieldPosition="0">
          <references count="1">
            <reference field="4294967294" selected="0">
              <x v="0"/>
            </reference>
          </references>
        </pivotArea>
      </autoSortScope>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descending" defaultSubtotal="1">
      <items count="4">
        <item t="data" sd="1" x="0"/>
        <item t="data" sd="1" x="1"/>
        <item t="data" sd="1" x="2"/>
        <item t="default" sd="1"/>
      </items>
      <autoSortScope>
        <pivotArea type="normal" dataOnly="0" outline="0" fieldPosition="0">
          <references count="1">
            <reference field="4294967294" selected="0">
              <x v="0"/>
            </reference>
          </references>
        </pivotArea>
      </autoSortScope>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2">
    <field x="2"/>
    <field x="5"/>
  </rowFields>
  <rowItems count="15">
    <i t="data" r="0" i="0">
      <x v="0"/>
      <x v="8"/>
    </i>
    <i t="data" r="1" i="0">
      <x v="6"/>
    </i>
    <i t="data" r="1" i="0">
      <x v="5"/>
    </i>
    <i t="data" r="1" i="0">
      <x v="2"/>
    </i>
    <i t="data" r="1" i="0">
      <x v="0"/>
    </i>
    <i t="data" r="1" i="0">
      <x v="3"/>
    </i>
    <i t="default" r="0" i="0">
      <x v="0"/>
    </i>
    <i t="data" r="0" i="0">
      <x v="1"/>
      <x v="6"/>
    </i>
    <i t="data" r="1" i="0">
      <x v="7"/>
    </i>
    <i t="data" r="1" i="0">
      <x v="2"/>
    </i>
    <i t="data" r="1" i="0">
      <x v="4"/>
    </i>
    <i t="default" r="0" i="0">
      <x v="1"/>
    </i>
    <i t="data" r="0" i="0">
      <x v="2"/>
      <x v="1"/>
    </i>
    <i t="default" r="0" i="0">
      <x v="2"/>
    </i>
    <i t="grand" r="0" i="0">
      <x v="0"/>
    </i>
  </rowItems>
  <colFields count="1">
    <field x="9"/>
  </colFields>
  <colItems count="4">
    <i t="data" r="0" i="0">
      <x v="2"/>
    </i>
    <i t="data" r="0" i="0">
      <x v="1"/>
    </i>
    <i t="data" r="0" i="0">
      <x v="0"/>
    </i>
    <i t="grand" r="0" i="0">
      <x v="0"/>
    </i>
  </colItems>
  <dataFields count="1">
    <dataField name="Count of Tasks Category" fld="2" subtotal="count" showDataAs="normal"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pivotTable" Target="/xl/pivotTables/pivotTable1.xml" Id="rId1"/></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pivotTable" Target="/xl/pivotTables/pivotTable2.xml" Id="rId1"/></Relationships>
</file>

<file path=xl/worksheets/_rels/sheet11.xml.rels><Relationships xmlns="http://schemas.openxmlformats.org/package/2006/relationships"><Relationship Type="http://schemas.openxmlformats.org/officeDocument/2006/relationships/pivotTable" Target="/xl/pivotTables/pivotTable3.xml" Id="rId1"/></Relationships>
</file>

<file path=xl/worksheets/_rels/sheet12.xml.rels><Relationships xmlns="http://schemas.openxmlformats.org/package/2006/relationships"><Relationship Type="http://schemas.openxmlformats.org/officeDocument/2006/relationships/pivotTable" Target="/xl/pivotTables/pivotTable4.xml" Id="rId1"/></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B2" sqref="B2"/>
    </sheetView>
  </sheetViews>
  <sheetFormatPr baseColWidth="8" defaultRowHeight="14.45"/>
  <cols>
    <col width="28" customWidth="1" min="1" max="1"/>
    <col width="40" customWidth="1" min="2" max="2"/>
  </cols>
  <sheetData>
    <row r="1">
      <c r="A1" s="1" t="inlineStr">
        <is>
          <t>Field</t>
        </is>
      </c>
      <c r="B1" s="1" t="inlineStr">
        <is>
          <t>Value</t>
        </is>
      </c>
    </row>
    <row r="2" ht="15" customHeight="1">
      <c r="A2" s="2" t="inlineStr">
        <is>
          <t>Project Name</t>
        </is>
      </c>
      <c r="B2" s="2" t="inlineStr">
        <is>
          <t>Data Manager AI</t>
        </is>
      </c>
    </row>
    <row r="3">
      <c r="A3" s="2" t="inlineStr">
        <is>
          <t>Owner</t>
        </is>
      </c>
      <c r="B3" s="2" t="n"/>
    </row>
    <row r="4" ht="15" customHeight="1">
      <c r="A4" s="2" t="inlineStr">
        <is>
          <t>Start Date</t>
        </is>
      </c>
      <c r="B4" s="7" t="n">
        <v>46013</v>
      </c>
    </row>
    <row r="5">
      <c r="A5" s="2" t="inlineStr">
        <is>
          <t>Target Completion Date</t>
        </is>
      </c>
      <c r="B5" s="2" t="n"/>
    </row>
    <row r="6">
      <c r="A6" s="2" t="inlineStr">
        <is>
          <t>Reporting Cadence</t>
        </is>
      </c>
      <c r="B6" s="2" t="inlineStr">
        <is>
          <t>Weekly</t>
        </is>
      </c>
    </row>
    <row r="7">
      <c r="A7" s="2" t="inlineStr">
        <is>
          <t>Last Updated</t>
        </is>
      </c>
      <c r="B7" s="2" t="inlineStr">
        <is>
          <t>2025-12-12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topLeftCell="F1" workbookViewId="0">
      <selection activeCell="J8" sqref="J8"/>
    </sheetView>
  </sheetViews>
  <sheetFormatPr baseColWidth="8" defaultRowHeight="15"/>
  <cols>
    <col width="25.7109375" customWidth="1" min="1" max="1"/>
    <col width="42.7109375" customWidth="1" min="2" max="2"/>
    <col width="21.42578125" customWidth="1" min="3" max="3"/>
    <col width="27.85546875" customWidth="1" min="4" max="4"/>
    <col width="37.28515625" customWidth="1" min="5" max="5"/>
    <col width="27.5703125" customWidth="1" min="6" max="6"/>
    <col width="22" customWidth="1" style="33" min="7" max="7"/>
    <col width="15.7109375" customWidth="1" style="33" min="8" max="8"/>
    <col width="20" customWidth="1" min="10" max="10"/>
  </cols>
  <sheetData>
    <row r="1" ht="30.75" customHeight="1">
      <c r="A1" s="20" t="inlineStr">
        <is>
          <t>Tasks ID</t>
        </is>
      </c>
      <c r="B1" s="20" t="inlineStr">
        <is>
          <t>Tasks List</t>
        </is>
      </c>
      <c r="C1" s="20" t="inlineStr">
        <is>
          <t>Tasks Category</t>
        </is>
      </c>
      <c r="D1" s="20" t="inlineStr">
        <is>
          <t>Task Map</t>
        </is>
      </c>
      <c r="E1" s="20" t="inlineStr">
        <is>
          <t>Task Discreption</t>
        </is>
      </c>
      <c r="F1" s="20" t="inlineStr">
        <is>
          <t>Assigned To</t>
        </is>
      </c>
      <c r="G1" s="27" t="inlineStr">
        <is>
          <t>Start Date</t>
        </is>
      </c>
      <c r="H1" s="27" t="inlineStr">
        <is>
          <t>Target Date</t>
        </is>
      </c>
      <c r="I1" s="20" t="inlineStr">
        <is>
          <t>Actual End Date</t>
        </is>
      </c>
      <c r="J1" s="20" t="inlineStr">
        <is>
          <t>Status</t>
        </is>
      </c>
      <c r="K1" s="20" t="inlineStr">
        <is>
          <t>% Complete</t>
        </is>
      </c>
      <c r="L1" s="20" t="inlineStr">
        <is>
          <t>Dependencies</t>
        </is>
      </c>
      <c r="M1" s="20" t="inlineStr">
        <is>
          <t>Comments</t>
        </is>
      </c>
    </row>
    <row r="2" customFormat="1" s="26">
      <c r="A2" s="11" t="inlineStr">
        <is>
          <t>Dashboard</t>
        </is>
      </c>
      <c r="B2" s="11" t="inlineStr">
        <is>
          <t>Dashboard</t>
        </is>
      </c>
      <c r="C2" s="11" t="inlineStr">
        <is>
          <t>Frontend</t>
        </is>
      </c>
      <c r="D2" s="11" t="inlineStr">
        <is>
          <t>Dashboard</t>
        </is>
      </c>
      <c r="E2" s="11" t="n"/>
      <c r="F2" s="11" t="inlineStr">
        <is>
          <t>Arthi/Tejasree</t>
        </is>
      </c>
      <c r="G2" s="28" t="n">
        <v>46024</v>
      </c>
      <c r="H2" s="28" t="n">
        <v>46027</v>
      </c>
      <c r="I2" s="28" t="n">
        <v>46027</v>
      </c>
      <c r="J2" s="11" t="inlineStr">
        <is>
          <t>Completed</t>
        </is>
      </c>
      <c r="K2" s="11" t="n"/>
      <c r="L2" s="11" t="n"/>
      <c r="M2" s="11" t="n"/>
    </row>
    <row r="3" customFormat="1" s="26">
      <c r="A3" s="11" t="inlineStr">
        <is>
          <t>Study Management</t>
        </is>
      </c>
      <c r="B3" s="11" t="inlineStr">
        <is>
          <t>Study Management</t>
        </is>
      </c>
      <c r="C3" s="11" t="inlineStr">
        <is>
          <t>Frontend</t>
        </is>
      </c>
      <c r="D3" s="11" t="inlineStr">
        <is>
          <t>Study Management</t>
        </is>
      </c>
      <c r="E3" s="11" t="n"/>
      <c r="F3" s="11" t="inlineStr">
        <is>
          <t>Arthi/Tejasree</t>
        </is>
      </c>
      <c r="G3" s="28" t="n">
        <v>46024</v>
      </c>
      <c r="H3" s="28" t="n">
        <v>46027</v>
      </c>
      <c r="I3" s="28" t="n">
        <v>46027</v>
      </c>
      <c r="J3" s="11" t="inlineStr">
        <is>
          <t>Completed</t>
        </is>
      </c>
      <c r="K3" s="11" t="n"/>
      <c r="L3" s="11" t="n"/>
      <c r="M3" s="11" t="n"/>
    </row>
    <row r="4" customFormat="1" s="22">
      <c r="A4" s="21" t="inlineStr">
        <is>
          <t>Data Integration</t>
        </is>
      </c>
      <c r="B4" s="21" t="inlineStr">
        <is>
          <t>Data Integration</t>
        </is>
      </c>
      <c r="C4" s="21" t="inlineStr">
        <is>
          <t>Frontend</t>
        </is>
      </c>
      <c r="D4" s="21" t="inlineStr">
        <is>
          <t>Data Integration</t>
        </is>
      </c>
      <c r="E4" s="21" t="n"/>
      <c r="F4" s="21" t="inlineStr">
        <is>
          <t>Arthi/Tejasree</t>
        </is>
      </c>
      <c r="G4" s="29" t="n">
        <v>46027</v>
      </c>
      <c r="H4" s="29" t="n">
        <v>46029</v>
      </c>
      <c r="I4" s="21" t="n"/>
      <c r="J4" s="21" t="inlineStr">
        <is>
          <t>In Progress</t>
        </is>
      </c>
      <c r="K4" s="21" t="n"/>
      <c r="L4" s="21" t="n"/>
      <c r="M4" s="21" t="n"/>
    </row>
    <row r="5" customFormat="1" s="22">
      <c r="A5" s="21" t="inlineStr">
        <is>
          <t>Trail Data Management</t>
        </is>
      </c>
      <c r="B5" s="21" t="inlineStr">
        <is>
          <t>Trail Data Management</t>
        </is>
      </c>
      <c r="C5" s="21" t="inlineStr">
        <is>
          <t>Frontend</t>
        </is>
      </c>
      <c r="D5" s="21" t="inlineStr">
        <is>
          <t>Trail Data Management</t>
        </is>
      </c>
      <c r="E5" s="21" t="n"/>
      <c r="F5" s="21" t="inlineStr">
        <is>
          <t>Arthi/Tejasree</t>
        </is>
      </c>
      <c r="G5" s="29" t="n">
        <v>46027</v>
      </c>
      <c r="H5" s="29" t="n">
        <v>46030</v>
      </c>
      <c r="I5" s="21" t="n"/>
      <c r="J5" s="21" t="inlineStr">
        <is>
          <t>In Progress</t>
        </is>
      </c>
      <c r="K5" s="21" t="n"/>
      <c r="L5" s="21" t="n"/>
      <c r="M5" s="21" t="n"/>
    </row>
    <row r="6" customFormat="1" s="22">
      <c r="A6" s="21" t="inlineStr">
        <is>
          <t>Data Manager.AI</t>
        </is>
      </c>
      <c r="B6" s="21" t="inlineStr">
        <is>
          <t>Data Manager.AI</t>
        </is>
      </c>
      <c r="C6" s="21" t="inlineStr">
        <is>
          <t>Frontend</t>
        </is>
      </c>
      <c r="D6" s="21" t="inlineStr">
        <is>
          <t>Data Manager.AI</t>
        </is>
      </c>
      <c r="E6" s="21" t="n"/>
      <c r="F6" s="21" t="inlineStr">
        <is>
          <t>Arthi/Tejasree</t>
        </is>
      </c>
      <c r="G6" s="29" t="n">
        <v>46027</v>
      </c>
      <c r="H6" s="29" t="n">
        <v>46030</v>
      </c>
      <c r="I6" s="21" t="n"/>
      <c r="J6" s="21" t="inlineStr">
        <is>
          <t>In Progress</t>
        </is>
      </c>
      <c r="K6" s="21" t="n"/>
      <c r="L6" s="21" t="n"/>
      <c r="M6" s="21" t="n"/>
    </row>
    <row r="7" customFormat="1" s="26">
      <c r="A7" s="11" t="inlineStr">
        <is>
          <t>DB Schema - Dashboard</t>
        </is>
      </c>
      <c r="B7" s="11" t="inlineStr">
        <is>
          <t>DB Schema - Dashboard</t>
        </is>
      </c>
      <c r="C7" s="11" t="inlineStr">
        <is>
          <t>Database</t>
        </is>
      </c>
      <c r="D7" s="11" t="inlineStr">
        <is>
          <t>Dashboard</t>
        </is>
      </c>
      <c r="E7" s="11" t="n"/>
      <c r="F7" s="11" t="inlineStr">
        <is>
          <t>Ritesh</t>
        </is>
      </c>
      <c r="G7" s="28" t="n">
        <v>46024</v>
      </c>
      <c r="H7" s="28" t="n">
        <v>45663</v>
      </c>
      <c r="I7" s="28" t="n">
        <v>45663</v>
      </c>
      <c r="J7" s="11" t="inlineStr">
        <is>
          <t>Completed</t>
        </is>
      </c>
      <c r="K7" s="11" t="n"/>
      <c r="L7" s="11" t="n"/>
      <c r="M7" s="11" t="n"/>
    </row>
    <row r="8" customFormat="1" s="22">
      <c r="A8" s="21" t="inlineStr">
        <is>
          <t>DB Schema - Study Management</t>
        </is>
      </c>
      <c r="B8" s="21" t="inlineStr">
        <is>
          <t>DB Schema - Study Management</t>
        </is>
      </c>
      <c r="C8" s="23" t="inlineStr">
        <is>
          <t>Database</t>
        </is>
      </c>
      <c r="D8" s="21" t="inlineStr">
        <is>
          <t>Study Management</t>
        </is>
      </c>
      <c r="E8" s="21" t="n"/>
      <c r="F8" s="21" t="inlineStr">
        <is>
          <t>Ritesh</t>
        </is>
      </c>
      <c r="G8" s="29" t="n">
        <v>46028</v>
      </c>
      <c r="H8" s="29" t="n">
        <v>46029</v>
      </c>
      <c r="I8" s="21" t="n"/>
      <c r="J8" s="21" t="inlineStr">
        <is>
          <t>In Progress</t>
        </is>
      </c>
      <c r="K8" s="21" t="n"/>
      <c r="L8" s="21" t="n"/>
      <c r="M8" s="21" t="n"/>
    </row>
    <row r="9" customFormat="1" s="26">
      <c r="A9" s="11" t="inlineStr">
        <is>
          <t>DB Schema - Data Integration</t>
        </is>
      </c>
      <c r="B9" s="11" t="inlineStr">
        <is>
          <t>DB Schema - Data Integration</t>
        </is>
      </c>
      <c r="C9" s="11" t="inlineStr">
        <is>
          <t>Database</t>
        </is>
      </c>
      <c r="D9" s="11" t="inlineStr">
        <is>
          <t>Data Integration</t>
        </is>
      </c>
      <c r="E9" s="11" t="n"/>
      <c r="F9" s="11" t="inlineStr">
        <is>
          <t>Deepta</t>
        </is>
      </c>
      <c r="G9" s="30" t="n">
        <v>46027</v>
      </c>
      <c r="H9" s="28" t="n">
        <v>46028</v>
      </c>
      <c r="I9" s="28" t="n">
        <v>46028</v>
      </c>
      <c r="J9" s="11" t="inlineStr">
        <is>
          <t>Completed</t>
        </is>
      </c>
      <c r="K9" s="11" t="n"/>
      <c r="L9" s="11" t="n"/>
      <c r="M9" s="11" t="n"/>
    </row>
    <row r="10" customFormat="1" s="22">
      <c r="A10" s="21" t="inlineStr">
        <is>
          <t>DB Schema - Trail Data Management</t>
        </is>
      </c>
      <c r="B10" s="21" t="inlineStr">
        <is>
          <t>DB Schema - Trail Data Management</t>
        </is>
      </c>
      <c r="C10" s="21" t="inlineStr">
        <is>
          <t>Database</t>
        </is>
      </c>
      <c r="D10" s="21" t="inlineStr">
        <is>
          <t>Trail Data Management</t>
        </is>
      </c>
      <c r="E10" s="21" t="n"/>
      <c r="F10" s="21" t="inlineStr">
        <is>
          <t>Ritesh</t>
        </is>
      </c>
      <c r="G10" s="31" t="n">
        <v>46028</v>
      </c>
      <c r="H10" s="29" t="n">
        <v>46029</v>
      </c>
      <c r="I10" s="21" t="n"/>
      <c r="J10" s="21" t="inlineStr">
        <is>
          <t>In Progress</t>
        </is>
      </c>
      <c r="K10" s="21" t="n"/>
      <c r="L10" s="21" t="n"/>
      <c r="M10" s="21" t="n"/>
    </row>
    <row r="11" customFormat="1" s="22">
      <c r="A11" s="21" t="inlineStr">
        <is>
          <t>DB Schema - DataManager.AI</t>
        </is>
      </c>
      <c r="B11" s="21" t="inlineStr">
        <is>
          <t>DB Schema - DataManager.AI</t>
        </is>
      </c>
      <c r="C11" s="21" t="inlineStr">
        <is>
          <t>Database</t>
        </is>
      </c>
      <c r="D11" s="21" t="inlineStr">
        <is>
          <t>Data Manager.AI</t>
        </is>
      </c>
      <c r="E11" s="21" t="n"/>
      <c r="F11" s="21" t="inlineStr">
        <is>
          <t>Hanif</t>
        </is>
      </c>
      <c r="G11" s="31" t="n">
        <v>46028</v>
      </c>
      <c r="H11" s="29" t="n">
        <v>46029</v>
      </c>
      <c r="I11" s="21" t="n"/>
      <c r="J11" s="21" t="inlineStr">
        <is>
          <t>In Progress</t>
        </is>
      </c>
      <c r="K11" s="21" t="n"/>
      <c r="L11" s="21" t="n"/>
      <c r="M11" s="21" t="n"/>
    </row>
    <row r="12">
      <c r="A12" s="21" t="inlineStr">
        <is>
          <t>Populate Trail Data into PostgreSQL</t>
        </is>
      </c>
      <c r="B12" s="21" t="inlineStr">
        <is>
          <t>Populate Trail Data into PostgreSQL</t>
        </is>
      </c>
      <c r="C12" s="21" t="inlineStr">
        <is>
          <t>Database</t>
        </is>
      </c>
      <c r="D12" s="21" t="inlineStr">
        <is>
          <t>Trail Data Management</t>
        </is>
      </c>
      <c r="E12" s="21" t="inlineStr">
        <is>
          <t>Populate EDC Data(DM,SV,DS,AE...) into PostgreSQL</t>
        </is>
      </c>
      <c r="F12" s="21" t="inlineStr">
        <is>
          <t>Ruthra</t>
        </is>
      </c>
      <c r="G12" s="29" t="n">
        <v>46030</v>
      </c>
      <c r="H12" s="29" t="n">
        <v>46031</v>
      </c>
      <c r="I12" s="21" t="n"/>
      <c r="J12" s="21" t="inlineStr">
        <is>
          <t>In Progress</t>
        </is>
      </c>
      <c r="K12" s="21" t="n"/>
      <c r="L12" s="21" t="n"/>
      <c r="M12" s="21" t="n"/>
    </row>
    <row r="13" customFormat="1" s="22">
      <c r="A13" s="21" t="inlineStr">
        <is>
          <t>Study Management - CRUD - DB</t>
        </is>
      </c>
      <c r="B13" s="21" t="inlineStr">
        <is>
          <t>Study Management - CRUD - DB</t>
        </is>
      </c>
      <c r="C13" s="21" t="inlineStr">
        <is>
          <t>Backend</t>
        </is>
      </c>
      <c r="D13" s="21" t="inlineStr">
        <is>
          <t>Study Management</t>
        </is>
      </c>
      <c r="E13" s="21" t="inlineStr">
        <is>
          <t>User should be able to create new studies, sites,studycontacts, vendors, documents.</t>
        </is>
      </c>
      <c r="F13" s="21" t="inlineStr">
        <is>
          <t>Priyeshwer</t>
        </is>
      </c>
      <c r="G13" s="29" t="n"/>
      <c r="H13" s="29" t="n"/>
      <c r="I13" s="21" t="n"/>
      <c r="J13" s="21" t="inlineStr">
        <is>
          <t>In Progress</t>
        </is>
      </c>
      <c r="K13" s="21" t="n"/>
      <c r="L13" s="21" t="n"/>
      <c r="M13" s="21" t="n"/>
    </row>
    <row r="14" customFormat="1" s="26">
      <c r="A14" s="11" t="inlineStr">
        <is>
          <t>Creating and Integrate PostgreSQL DBs</t>
        </is>
      </c>
      <c r="B14" s="11" t="inlineStr">
        <is>
          <t>Creating and Integrate PostgreSQL DBs</t>
        </is>
      </c>
      <c r="C14" s="11" t="inlineStr">
        <is>
          <t>Backend</t>
        </is>
      </c>
      <c r="D14" s="11" t="inlineStr">
        <is>
          <t>Data Integration</t>
        </is>
      </c>
      <c r="E14" s="11" t="n"/>
      <c r="F14" s="11" t="inlineStr">
        <is>
          <t>Priyeshwer</t>
        </is>
      </c>
      <c r="G14" s="28" t="n"/>
      <c r="H14" s="28" t="n"/>
      <c r="I14" s="11" t="n"/>
      <c r="J14" s="11" t="inlineStr">
        <is>
          <t>Completed</t>
        </is>
      </c>
      <c r="K14" s="11" t="n"/>
      <c r="L14" s="11" t="n"/>
      <c r="M14" s="11" t="n"/>
    </row>
    <row r="15" customFormat="1" s="26">
      <c r="A15" s="11" t="inlineStr">
        <is>
          <t>Make Refresh, Pause, Actions - Dynamic</t>
        </is>
      </c>
      <c r="B15" s="11" t="inlineStr">
        <is>
          <t>Make Refresh, Pause, Actions - Dynamic</t>
        </is>
      </c>
      <c r="C15" s="11" t="inlineStr">
        <is>
          <t>Backend</t>
        </is>
      </c>
      <c r="D15" s="11" t="inlineStr">
        <is>
          <t>Data Integration</t>
        </is>
      </c>
      <c r="E15" s="11" t="n"/>
      <c r="F15" s="11" t="inlineStr">
        <is>
          <t>Priyeshwer</t>
        </is>
      </c>
      <c r="G15" s="28" t="n"/>
      <c r="H15" s="28" t="n"/>
      <c r="I15" s="11" t="n"/>
      <c r="J15" s="11" t="inlineStr">
        <is>
          <t>Completed</t>
        </is>
      </c>
      <c r="K15" s="11" t="n"/>
      <c r="L15" s="11" t="n"/>
      <c r="M15" s="11" t="n"/>
    </row>
    <row r="16" customFormat="1" s="26">
      <c r="A16" s="11" t="inlineStr">
        <is>
          <t>Scheduler</t>
        </is>
      </c>
      <c r="B16" s="11" t="inlineStr">
        <is>
          <t>Scheduler</t>
        </is>
      </c>
      <c r="C16" s="11" t="inlineStr">
        <is>
          <t>Backend</t>
        </is>
      </c>
      <c r="D16" s="11" t="inlineStr">
        <is>
          <t>Data Integration</t>
        </is>
      </c>
      <c r="E16" s="11" t="n"/>
      <c r="F16" s="11" t="inlineStr">
        <is>
          <t>Deepta</t>
        </is>
      </c>
      <c r="G16" s="28" t="n"/>
      <c r="H16" s="28" t="n"/>
      <c r="I16" s="11" t="n"/>
      <c r="J16" s="11" t="inlineStr">
        <is>
          <t>Completed</t>
        </is>
      </c>
      <c r="K16" s="11" t="n"/>
      <c r="L16" s="11" t="n"/>
      <c r="M16" s="11" t="n"/>
    </row>
    <row r="17" customFormat="1" s="25">
      <c r="A17" s="24" t="inlineStr">
        <is>
          <t>Integrate Integration Logs</t>
        </is>
      </c>
      <c r="B17" s="24" t="inlineStr">
        <is>
          <t>Integrate Integration Logs</t>
        </is>
      </c>
      <c r="C17" s="24" t="inlineStr">
        <is>
          <t>Backend</t>
        </is>
      </c>
      <c r="D17" s="24" t="inlineStr">
        <is>
          <t>Data Integration</t>
        </is>
      </c>
      <c r="E17" s="24" t="n"/>
      <c r="F17" s="24" t="inlineStr">
        <is>
          <t>Priyeshwer</t>
        </is>
      </c>
      <c r="G17" s="32" t="n"/>
      <c r="H17" s="32" t="n"/>
      <c r="I17" s="24" t="n"/>
      <c r="J17" s="24" t="inlineStr">
        <is>
          <t>Not Started</t>
        </is>
      </c>
      <c r="K17" s="24" t="n"/>
      <c r="L17" s="24" t="n"/>
      <c r="M17" s="24" t="n"/>
    </row>
    <row r="18" customFormat="1" s="25">
      <c r="A18" s="24" t="inlineStr">
        <is>
          <t>Build Data Quality Checks Agent</t>
        </is>
      </c>
      <c r="B18" s="24" t="inlineStr">
        <is>
          <t>Build Data Quality Checks Agent</t>
        </is>
      </c>
      <c r="C18" s="24" t="inlineStr">
        <is>
          <t>Backend</t>
        </is>
      </c>
      <c r="D18" s="24" t="inlineStr">
        <is>
          <t>Data Manager.AI</t>
        </is>
      </c>
      <c r="E18" s="24" t="n"/>
      <c r="F18" s="24" t="inlineStr">
        <is>
          <t>Ruthra/Hanif</t>
        </is>
      </c>
      <c r="G18" s="32" t="n"/>
      <c r="H18" s="32" t="n"/>
      <c r="I18" s="24" t="n"/>
      <c r="J18" s="24" t="inlineStr">
        <is>
          <t>Not Started</t>
        </is>
      </c>
      <c r="K18" s="24" t="n"/>
      <c r="L18" s="24" t="n"/>
      <c r="M18" s="24" t="n"/>
    </row>
    <row r="19" customFormat="1" s="25">
      <c r="A19" s="24" t="inlineStr">
        <is>
          <t>Build Reconcilation Agent</t>
        </is>
      </c>
      <c r="B19" s="24" t="inlineStr">
        <is>
          <t>Build Reconcilation Agent</t>
        </is>
      </c>
      <c r="C19" s="24" t="inlineStr">
        <is>
          <t>Backend</t>
        </is>
      </c>
      <c r="D19" s="24" t="inlineStr">
        <is>
          <t>Data Manager.AI</t>
        </is>
      </c>
      <c r="E19" s="24" t="n"/>
      <c r="F19" s="24" t="inlineStr">
        <is>
          <t>Ruthra/Hanif</t>
        </is>
      </c>
      <c r="G19" s="32" t="n"/>
      <c r="H19" s="32" t="n"/>
      <c r="I19" s="24" t="n"/>
      <c r="J19" s="24" t="inlineStr">
        <is>
          <t>Not Started</t>
        </is>
      </c>
      <c r="K19" s="24" t="n"/>
      <c r="L19" s="24" t="n"/>
      <c r="M19" s="24" t="n"/>
    </row>
    <row r="20" customFormat="1" s="25">
      <c r="A20" s="24" t="inlineStr">
        <is>
          <t>Data Fetch Agent</t>
        </is>
      </c>
      <c r="B20" s="24" t="inlineStr">
        <is>
          <t>Data Fetch Agent</t>
        </is>
      </c>
      <c r="C20" s="24" t="inlineStr">
        <is>
          <t>Backend</t>
        </is>
      </c>
      <c r="D20" s="24" t="inlineStr">
        <is>
          <t>Data Manager.AI</t>
        </is>
      </c>
      <c r="E20" s="24" t="n"/>
      <c r="F20" s="24" t="inlineStr">
        <is>
          <t>Ruthra/Hanif</t>
        </is>
      </c>
      <c r="G20" s="32" t="n"/>
      <c r="H20" s="32" t="n"/>
      <c r="I20" s="24" t="n"/>
      <c r="J20" s="24" t="inlineStr">
        <is>
          <t>Not Started</t>
        </is>
      </c>
      <c r="K20" s="24" t="n"/>
      <c r="L20" s="24" t="n"/>
      <c r="M20" s="24" t="n"/>
    </row>
    <row r="21" customFormat="1" s="25">
      <c r="A21" s="24" t="inlineStr">
        <is>
          <t>DQ Processing Agent</t>
        </is>
      </c>
      <c r="B21" s="24" t="inlineStr">
        <is>
          <t>DQ Processing Agent</t>
        </is>
      </c>
      <c r="C21" s="24" t="inlineStr">
        <is>
          <t>Backend</t>
        </is>
      </c>
      <c r="D21" s="24" t="inlineStr">
        <is>
          <t>Data Manager.AI</t>
        </is>
      </c>
      <c r="E21" s="24" t="n"/>
      <c r="F21" s="24" t="inlineStr">
        <is>
          <t>Ruthra/Hanif</t>
        </is>
      </c>
      <c r="G21" s="32" t="n"/>
      <c r="H21" s="32" t="n"/>
      <c r="I21" s="24" t="n"/>
      <c r="J21" s="24" t="inlineStr">
        <is>
          <t>Not Started</t>
        </is>
      </c>
      <c r="K21" s="24" t="n"/>
      <c r="L21" s="24" t="n"/>
      <c r="M21" s="24" t="n"/>
    </row>
    <row r="22" customFormat="1" s="25">
      <c r="A22" s="24" t="inlineStr">
        <is>
          <t>Protocol Check Agent</t>
        </is>
      </c>
      <c r="B22" s="24" t="inlineStr">
        <is>
          <t>Protocol Check Agent</t>
        </is>
      </c>
      <c r="C22" s="24" t="inlineStr">
        <is>
          <t>Backend</t>
        </is>
      </c>
      <c r="D22" s="24" t="inlineStr">
        <is>
          <t>Data Manager.AI</t>
        </is>
      </c>
      <c r="E22" s="24" t="n"/>
      <c r="F22" s="24" t="inlineStr">
        <is>
          <t>Ruthra/Hanif</t>
        </is>
      </c>
      <c r="G22" s="32" t="n"/>
      <c r="H22" s="32" t="n"/>
      <c r="I22" s="24" t="n"/>
      <c r="J22" s="24" t="inlineStr">
        <is>
          <t>Not Started</t>
        </is>
      </c>
      <c r="K22" s="24" t="n"/>
      <c r="L22" s="24" t="n"/>
      <c r="M22" s="24" t="n"/>
    </row>
    <row r="23" customFormat="1" s="25">
      <c r="A23" s="24" t="inlineStr">
        <is>
          <t>Task Manager Agent</t>
        </is>
      </c>
      <c r="B23" s="24" t="inlineStr">
        <is>
          <t>Task Manager Agent</t>
        </is>
      </c>
      <c r="C23" s="24" t="inlineStr">
        <is>
          <t>Backend</t>
        </is>
      </c>
      <c r="D23" s="24" t="inlineStr">
        <is>
          <t>Data Manager.AI</t>
        </is>
      </c>
      <c r="E23" s="24" t="n"/>
      <c r="F23" s="24" t="inlineStr">
        <is>
          <t>Ruthra/Hanif</t>
        </is>
      </c>
      <c r="G23" s="32" t="n"/>
      <c r="H23" s="32" t="n"/>
      <c r="I23" s="24" t="n"/>
      <c r="J23" s="24" t="inlineStr">
        <is>
          <t>Not Started</t>
        </is>
      </c>
      <c r="K23" s="24" t="n"/>
      <c r="L23" s="24" t="n"/>
      <c r="M23" s="24" t="n"/>
    </row>
    <row r="24" customFormat="1" s="25">
      <c r="A24" s="24" t="inlineStr">
        <is>
          <t>Test Study Management</t>
        </is>
      </c>
      <c r="B24" s="24" t="inlineStr">
        <is>
          <t>Test Study Management</t>
        </is>
      </c>
      <c r="C24" s="24" t="inlineStr">
        <is>
          <t>Backend</t>
        </is>
      </c>
      <c r="D24" s="24" t="inlineStr">
        <is>
          <t>Study Management</t>
        </is>
      </c>
      <c r="E24" s="24" t="n"/>
      <c r="F24" s="24" t="inlineStr">
        <is>
          <t>Ritesh</t>
        </is>
      </c>
      <c r="G24" s="32" t="n"/>
      <c r="H24" s="32" t="n"/>
      <c r="I24" s="24" t="n"/>
      <c r="J24" s="24" t="inlineStr">
        <is>
          <t>Not Started</t>
        </is>
      </c>
      <c r="K24" s="24" t="n"/>
      <c r="L24" s="24" t="n"/>
      <c r="M24" s="24" t="n"/>
    </row>
    <row r="25" customFormat="1" s="25">
      <c r="A25" s="24" t="inlineStr">
        <is>
          <t>Test Data Integration</t>
        </is>
      </c>
      <c r="B25" s="24" t="inlineStr">
        <is>
          <t>Test Data Integration</t>
        </is>
      </c>
      <c r="C25" s="24" t="inlineStr">
        <is>
          <t>Backend</t>
        </is>
      </c>
      <c r="D25" s="24" t="inlineStr">
        <is>
          <t>Data Integration</t>
        </is>
      </c>
      <c r="E25" s="24" t="n"/>
      <c r="F25" s="24" t="inlineStr">
        <is>
          <t>Ritesh</t>
        </is>
      </c>
      <c r="G25" s="32" t="n"/>
      <c r="H25" s="32" t="n"/>
      <c r="I25" s="24" t="n"/>
      <c r="J25" s="24" t="inlineStr">
        <is>
          <t>Not Started</t>
        </is>
      </c>
      <c r="K25" s="24" t="n"/>
      <c r="L25" s="24" t="n"/>
      <c r="M25" s="24" t="n"/>
    </row>
    <row r="26" customFormat="1" s="25">
      <c r="A26" s="24" t="inlineStr">
        <is>
          <t>Test Trail Data Management</t>
        </is>
      </c>
      <c r="B26" s="24" t="inlineStr">
        <is>
          <t>Test Trail Data Management</t>
        </is>
      </c>
      <c r="C26" s="24" t="inlineStr">
        <is>
          <t>Backend</t>
        </is>
      </c>
      <c r="D26" s="24" t="inlineStr">
        <is>
          <t>Trail Data Management</t>
        </is>
      </c>
      <c r="E26" s="24" t="n"/>
      <c r="F26" s="24" t="inlineStr">
        <is>
          <t>Ritesh</t>
        </is>
      </c>
      <c r="G26" s="32" t="n"/>
      <c r="H26" s="32" t="n"/>
      <c r="I26" s="24" t="n"/>
      <c r="J26" s="24" t="inlineStr">
        <is>
          <t>Not Started</t>
        </is>
      </c>
      <c r="K26" s="24" t="n"/>
      <c r="L26" s="24" t="n"/>
      <c r="M26" s="24" t="n"/>
    </row>
    <row r="27" customFormat="1" s="25">
      <c r="A27" s="24" t="inlineStr">
        <is>
          <t>Test Data Manager.AI</t>
        </is>
      </c>
      <c r="B27" s="24" t="inlineStr">
        <is>
          <t>Test Data Manager.AI</t>
        </is>
      </c>
      <c r="C27" s="24" t="inlineStr">
        <is>
          <t>Backend</t>
        </is>
      </c>
      <c r="D27" s="24" t="inlineStr">
        <is>
          <t>Data Manager.AI</t>
        </is>
      </c>
      <c r="E27" s="24" t="n"/>
      <c r="F27" s="24" t="inlineStr">
        <is>
          <t>Ritesh</t>
        </is>
      </c>
      <c r="G27" s="32" t="n"/>
      <c r="H27" s="32" t="n"/>
      <c r="I27" s="24" t="n"/>
      <c r="J27" s="24" t="inlineStr">
        <is>
          <t>Not Started</t>
        </is>
      </c>
      <c r="K27" s="24" t="n"/>
      <c r="L27" s="24" t="n"/>
      <c r="M27" s="24" t="n"/>
    </row>
    <row r="28" customFormat="1" s="25">
      <c r="A28" s="24" t="inlineStr">
        <is>
          <t xml:space="preserve">Maintain Complete Workflow </t>
        </is>
      </c>
      <c r="B28" s="24" t="inlineStr">
        <is>
          <t xml:space="preserve">Maintain Complete Workflow </t>
        </is>
      </c>
      <c r="C28" s="24" t="inlineStr">
        <is>
          <t>Backend</t>
        </is>
      </c>
      <c r="D28" s="24" t="inlineStr">
        <is>
          <t>Data Manager.AI</t>
        </is>
      </c>
      <c r="E28" s="24" t="n"/>
      <c r="F28" s="24" t="inlineStr">
        <is>
          <t>Ritesh</t>
        </is>
      </c>
      <c r="G28" s="32" t="n"/>
      <c r="H28" s="32" t="n"/>
      <c r="I28" s="24" t="n"/>
      <c r="J28" s="24" t="inlineStr">
        <is>
          <t>Not Started</t>
        </is>
      </c>
      <c r="K28" s="24" t="n"/>
      <c r="L28" s="24" t="n"/>
      <c r="M28" s="24" t="n"/>
    </row>
    <row r="29" customFormat="1" s="25">
      <c r="A29" s="24" t="inlineStr">
        <is>
          <t>Real-Time Monitoring</t>
        </is>
      </c>
      <c r="B29" s="24" t="inlineStr">
        <is>
          <t>Real-Time Monitoring</t>
        </is>
      </c>
      <c r="C29" s="24" t="inlineStr">
        <is>
          <t>Backend</t>
        </is>
      </c>
      <c r="D29" s="24" t="inlineStr">
        <is>
          <t>Data Integration</t>
        </is>
      </c>
      <c r="E29" s="24" t="n"/>
      <c r="F29" s="24" t="inlineStr">
        <is>
          <t>Aarthi</t>
        </is>
      </c>
      <c r="G29" s="32" t="n"/>
      <c r="H29" s="32" t="n"/>
      <c r="I29" s="24" t="n"/>
      <c r="J29" s="24" t="inlineStr">
        <is>
          <t>Not Started</t>
        </is>
      </c>
      <c r="K29" s="24" t="n"/>
      <c r="L29" s="24" t="n"/>
      <c r="M29" s="24" t="n"/>
    </row>
    <row r="30" customFormat="1" s="25">
      <c r="A30" s="24" t="inlineStr">
        <is>
          <t>Monitor.ai/Notifications</t>
        </is>
      </c>
      <c r="B30" s="24" t="inlineStr">
        <is>
          <t>Monitor.ai/Notifications</t>
        </is>
      </c>
      <c r="C30" s="24" t="inlineStr">
        <is>
          <t>Backend</t>
        </is>
      </c>
      <c r="D30" s="24" t="inlineStr">
        <is>
          <t>Data Integration</t>
        </is>
      </c>
      <c r="E30" s="24" t="n"/>
      <c r="F30" s="24" t="inlineStr">
        <is>
          <t>Deepta/Tejashree</t>
        </is>
      </c>
      <c r="G30" s="32" t="n"/>
      <c r="H30" s="32" t="n"/>
      <c r="I30" s="24" t="n"/>
      <c r="J30" s="24" t="inlineStr">
        <is>
          <t>Not Started</t>
        </is>
      </c>
      <c r="K30" s="24" t="n"/>
      <c r="L30" s="24" t="n"/>
      <c r="M30" s="24" t="n"/>
    </row>
  </sheetData>
  <conditionalFormatting sqref="A2:M500">
    <cfRule type="expression" priority="5" dxfId="5">
      <formula>$J2="Completed"</formula>
    </cfRule>
    <cfRule type="expression" priority="6" dxfId="6">
      <formula>$J2="In Progress"</formula>
    </cfRule>
    <cfRule type="expression" priority="7" dxfId="7">
      <formula>$J2="Not Started"</formula>
    </cfRule>
    <cfRule type="expression" priority="8" dxfId="8">
      <formula>$J2="On Hold"</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DropDown="0" showInputMessage="0" showErrorMessage="0" allowBlank="1" type="list">
      <formula1>"Not Started,In Progress,Completed,On Hold"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00"/>
  <sheetViews>
    <sheetView workbookViewId="0">
      <pane ySplit="1" topLeftCell="A2" activePane="bottomLeft" state="frozen"/>
      <selection pane="bottomLeft" activeCell="A22" sqref="A22"/>
    </sheetView>
  </sheetViews>
  <sheetFormatPr baseColWidth="8" defaultRowHeight="14.45"/>
  <cols>
    <col width="43.42578125" customWidth="1" min="1" max="1"/>
    <col width="18" customWidth="1" min="2" max="2"/>
    <col width="16" customWidth="1" style="14" min="3" max="3"/>
    <col width="16" customWidth="1" min="4" max="4"/>
    <col width="14" customWidth="1" min="5" max="5"/>
    <col width="30" customWidth="1" min="6" max="6"/>
  </cols>
  <sheetData>
    <row r="1" ht="15" customHeight="1">
      <c r="A1" s="3" t="inlineStr">
        <is>
          <t>Milestone</t>
        </is>
      </c>
      <c r="B1" s="3" t="inlineStr">
        <is>
          <t>Owner</t>
        </is>
      </c>
      <c r="C1" s="12" t="inlineStr">
        <is>
          <t>Target Date</t>
        </is>
      </c>
      <c r="D1" s="3" t="inlineStr">
        <is>
          <t>Actual Date</t>
        </is>
      </c>
      <c r="E1" s="3" t="inlineStr">
        <is>
          <t>Status</t>
        </is>
      </c>
      <c r="F1" s="3" t="inlineStr">
        <is>
          <t>Comments</t>
        </is>
      </c>
    </row>
    <row r="2">
      <c r="A2" s="4" t="inlineStr">
        <is>
          <t>Front End</t>
        </is>
      </c>
      <c r="B2" s="4" t="n"/>
      <c r="C2" s="13" t="n"/>
      <c r="D2" s="5" t="n"/>
      <c r="E2" s="4" t="n"/>
      <c r="F2" s="4" t="n"/>
    </row>
    <row r="3">
      <c r="A3" s="4" t="inlineStr">
        <is>
          <t>Back End</t>
        </is>
      </c>
      <c r="B3" s="4" t="n"/>
      <c r="C3" s="13" t="n"/>
      <c r="D3" s="5" t="n"/>
      <c r="E3" s="4" t="n"/>
      <c r="F3" s="4" t="n"/>
    </row>
    <row r="4">
      <c r="A4" s="4" t="inlineStr">
        <is>
          <t>Front End</t>
        </is>
      </c>
      <c r="B4" s="4" t="n"/>
      <c r="C4" s="13" t="n"/>
      <c r="D4" s="5" t="n"/>
      <c r="E4" s="4" t="n"/>
      <c r="F4" s="4" t="n"/>
    </row>
    <row r="5">
      <c r="A5" s="4" t="inlineStr">
        <is>
          <t>Database</t>
        </is>
      </c>
      <c r="B5" s="4" t="n"/>
      <c r="C5" s="13" t="n"/>
      <c r="D5" s="5" t="n"/>
      <c r="E5" s="4" t="n"/>
      <c r="F5" s="4" t="n"/>
    </row>
    <row r="6">
      <c r="A6" s="4" t="inlineStr">
        <is>
          <t>API Integration</t>
        </is>
      </c>
      <c r="B6" s="4" t="n"/>
      <c r="C6" s="13" t="n"/>
      <c r="D6" s="5" t="n"/>
      <c r="E6" s="4" t="n"/>
      <c r="F6" s="4" t="n"/>
    </row>
    <row r="7">
      <c r="A7" s="4" t="inlineStr">
        <is>
          <t>Cloud Migration</t>
        </is>
      </c>
      <c r="B7" s="4" t="n"/>
      <c r="C7" s="13" t="n"/>
      <c r="D7" s="5" t="n"/>
      <c r="E7" s="4" t="n"/>
      <c r="F7" s="4" t="n"/>
    </row>
    <row r="8">
      <c r="A8" s="17" t="inlineStr">
        <is>
          <t>Agent Orchestration</t>
        </is>
      </c>
      <c r="B8" s="17" t="inlineStr">
        <is>
          <t>Mitul</t>
        </is>
      </c>
      <c r="C8" s="13" t="n"/>
      <c r="D8" s="5" t="n"/>
      <c r="E8" s="4" t="n"/>
      <c r="F8" s="4" t="n"/>
    </row>
    <row r="9">
      <c r="A9" s="4" t="inlineStr">
        <is>
          <t>Business Rules</t>
        </is>
      </c>
      <c r="B9" s="4" t="inlineStr">
        <is>
          <t>Prabhakar</t>
        </is>
      </c>
      <c r="C9" s="13" t="n"/>
      <c r="D9" s="5" t="n"/>
      <c r="E9" s="4" t="inlineStr">
        <is>
          <t>Not Started</t>
        </is>
      </c>
      <c r="F9" s="4" t="inlineStr">
        <is>
          <t>discuss for better Rules engine</t>
        </is>
      </c>
    </row>
    <row r="10">
      <c r="A10" s="17" t="inlineStr">
        <is>
          <t>Cloud CI-CD Set-up</t>
        </is>
      </c>
      <c r="B10" s="4" t="n"/>
      <c r="C10" s="13" t="n"/>
      <c r="D10" s="5" t="n"/>
      <c r="E10" s="4" t="n"/>
      <c r="F10" s="4" t="n"/>
    </row>
    <row r="11">
      <c r="A11" s="17" t="inlineStr">
        <is>
          <t>Creating separeate Azure cluster</t>
        </is>
      </c>
      <c r="B11" s="18" t="inlineStr">
        <is>
          <t>Mitul</t>
        </is>
      </c>
      <c r="C11" s="13" t="n"/>
      <c r="D11" s="5" t="n"/>
      <c r="E11" s="4" t="n"/>
      <c r="F11" s="4" t="n"/>
    </row>
    <row r="12">
      <c r="A12" s="18" t="inlineStr">
        <is>
          <t>Send Team email ID</t>
        </is>
      </c>
      <c r="B12" s="18" t="inlineStr">
        <is>
          <t xml:space="preserve">Eswar </t>
        </is>
      </c>
      <c r="C12" s="13" t="inlineStr">
        <is>
          <t>done</t>
        </is>
      </c>
      <c r="D12" s="5" t="n"/>
      <c r="E12" s="4" t="n"/>
      <c r="F12" s="4" t="n"/>
    </row>
    <row r="13">
      <c r="A13" s="18" t="inlineStr">
        <is>
          <t>Access to Azure Portal</t>
        </is>
      </c>
      <c r="B13" s="18" t="inlineStr">
        <is>
          <t>STG Team</t>
        </is>
      </c>
      <c r="C13" s="13" t="n"/>
      <c r="D13" s="5" t="n"/>
      <c r="E13" s="4" t="n"/>
      <c r="F13" s="4" t="n"/>
    </row>
    <row r="14">
      <c r="A14" s="17" t="inlineStr">
        <is>
          <t>Subscriton ID</t>
        </is>
      </c>
      <c r="B14" s="17" t="inlineStr">
        <is>
          <t>Mitul</t>
        </is>
      </c>
      <c r="C14" s="13" t="n"/>
      <c r="D14" s="5" t="n"/>
      <c r="E14" s="4" t="n"/>
      <c r="F14" s="4" t="n"/>
    </row>
    <row r="15">
      <c r="A15" s="18" t="inlineStr">
        <is>
          <t>Connect with STG team with SubscriotionID</t>
        </is>
      </c>
      <c r="B15" s="18" t="inlineStr">
        <is>
          <t>Eswar &amp; Mitul</t>
        </is>
      </c>
      <c r="C15" s="13" t="inlineStr">
        <is>
          <t>not done</t>
        </is>
      </c>
      <c r="D15" s="5" t="n"/>
      <c r="E15" s="4" t="n"/>
      <c r="F15" s="4" t="n"/>
    </row>
    <row r="16">
      <c r="A16" s="18" t="inlineStr">
        <is>
          <t>Contributor Access to Eswar and Prabhakar</t>
        </is>
      </c>
      <c r="B16" s="18" t="inlineStr">
        <is>
          <t>Mitul</t>
        </is>
      </c>
      <c r="C16" s="13" t="inlineStr">
        <is>
          <t>not done</t>
        </is>
      </c>
      <c r="D16" s="5" t="n"/>
      <c r="E16" s="4" t="n"/>
      <c r="F16" s="4" t="n"/>
    </row>
    <row r="17">
      <c r="A17" s="18" t="inlineStr">
        <is>
          <t>Contributor access role Training to ESWAr and Prabhakar</t>
        </is>
      </c>
      <c r="B17" s="18" t="inlineStr">
        <is>
          <t>Mitul</t>
        </is>
      </c>
      <c r="C17" s="13" t="n"/>
      <c r="D17" s="5" t="n"/>
      <c r="E17" s="4" t="n"/>
      <c r="F17" s="4" t="n"/>
    </row>
    <row r="18">
      <c r="A18" s="17" t="inlineStr">
        <is>
          <t>Azure Pipeline creation</t>
        </is>
      </c>
      <c r="B18" s="4" t="inlineStr">
        <is>
          <t>Mitul</t>
        </is>
      </c>
      <c r="C18" s="13" t="n"/>
      <c r="D18" s="5" t="n"/>
      <c r="E18" s="4" t="n"/>
      <c r="F18" s="4" t="n"/>
    </row>
    <row r="19">
      <c r="A19" s="17" t="inlineStr">
        <is>
          <t>Git Repo switch to Azure Repo</t>
        </is>
      </c>
      <c r="B19" s="4" t="inlineStr">
        <is>
          <t>Mitul</t>
        </is>
      </c>
      <c r="C19" s="13" t="n"/>
      <c r="D19" s="5" t="n"/>
      <c r="E19" s="4" t="n"/>
      <c r="F19" s="4" t="n"/>
    </row>
    <row r="20">
      <c r="A20" s="19" t="inlineStr">
        <is>
          <t>.ENV files to Mitul</t>
        </is>
      </c>
      <c r="B20" s="4" t="inlineStr">
        <is>
          <t>Eswar</t>
        </is>
      </c>
      <c r="C20" s="13" t="inlineStr">
        <is>
          <t>not done</t>
        </is>
      </c>
      <c r="D20" s="5" t="n"/>
      <c r="E20" s="4" t="n"/>
      <c r="F20" s="4" t="n"/>
    </row>
    <row r="21">
      <c r="A21" s="4" t="n"/>
      <c r="B21" s="4" t="n"/>
      <c r="C21" s="13" t="n"/>
      <c r="D21" s="5" t="n"/>
      <c r="E21" s="4" t="n"/>
      <c r="F21" s="4" t="n"/>
    </row>
    <row r="22">
      <c r="A22" s="4" t="inlineStr">
        <is>
          <t>Meet with Venkata and Team</t>
        </is>
      </c>
      <c r="B22" s="4" t="n"/>
      <c r="C22" s="13" t="n"/>
      <c r="D22" s="5" t="n"/>
      <c r="E22" s="4" t="n"/>
      <c r="F22" s="4" t="n"/>
    </row>
    <row r="23">
      <c r="A23" s="4" t="inlineStr">
        <is>
          <t>Rule Engine</t>
        </is>
      </c>
      <c r="B23" s="4" t="n"/>
      <c r="C23" s="13" t="n"/>
      <c r="D23" s="5" t="n"/>
      <c r="E23" s="4" t="n"/>
      <c r="F23" s="4" t="n"/>
    </row>
    <row r="24">
      <c r="A24" s="4" t="n"/>
      <c r="B24" s="4" t="n"/>
      <c r="C24" s="13" t="n"/>
      <c r="D24" s="5" t="n"/>
      <c r="E24" s="4" t="n"/>
      <c r="F24" s="4" t="n"/>
    </row>
    <row r="25">
      <c r="A25" s="4" t="n"/>
      <c r="B25" s="4" t="n"/>
      <c r="C25" s="13" t="n"/>
      <c r="D25" s="5" t="n"/>
      <c r="E25" s="4" t="n"/>
      <c r="F25" s="4" t="n"/>
    </row>
    <row r="26">
      <c r="A26" s="4" t="n"/>
      <c r="B26" s="4" t="n"/>
      <c r="C26" s="13" t="n"/>
      <c r="D26" s="5" t="n"/>
      <c r="E26" s="4" t="n"/>
      <c r="F26" s="4" t="n"/>
    </row>
    <row r="27">
      <c r="A27" s="4" t="n"/>
      <c r="B27" s="4" t="n"/>
      <c r="C27" s="13" t="n"/>
      <c r="D27" s="5" t="n"/>
      <c r="E27" s="4" t="n"/>
      <c r="F27" s="4" t="n"/>
    </row>
    <row r="28">
      <c r="A28" s="4" t="n"/>
      <c r="B28" s="4" t="n"/>
      <c r="C28" s="13" t="n"/>
      <c r="D28" s="5" t="n"/>
      <c r="E28" s="4" t="n"/>
      <c r="F28" s="4" t="n"/>
    </row>
    <row r="29">
      <c r="A29" s="4" t="n"/>
      <c r="B29" s="4" t="n"/>
      <c r="C29" s="13" t="n"/>
      <c r="D29" s="5" t="n"/>
      <c r="E29" s="4" t="n"/>
      <c r="F29" s="4" t="n"/>
    </row>
    <row r="30">
      <c r="A30" s="4" t="n"/>
      <c r="B30" s="4" t="n"/>
      <c r="C30" s="13" t="n"/>
      <c r="D30" s="5" t="n"/>
      <c r="E30" s="4" t="n"/>
      <c r="F30" s="4" t="n"/>
    </row>
    <row r="31">
      <c r="A31" s="4" t="n"/>
      <c r="B31" s="4" t="n"/>
      <c r="C31" s="13" t="n"/>
      <c r="D31" s="5" t="n"/>
      <c r="E31" s="4" t="n"/>
      <c r="F31" s="4" t="n"/>
    </row>
    <row r="32">
      <c r="A32" s="4" t="n"/>
      <c r="B32" s="4" t="n"/>
      <c r="C32" s="13" t="n"/>
      <c r="D32" s="5" t="n"/>
      <c r="E32" s="4" t="n"/>
      <c r="F32" s="4" t="n"/>
    </row>
    <row r="33">
      <c r="A33" s="4" t="n"/>
      <c r="B33" s="4" t="n"/>
      <c r="C33" s="13" t="n"/>
      <c r="D33" s="5" t="n"/>
      <c r="E33" s="4" t="n"/>
      <c r="F33" s="4" t="n"/>
    </row>
    <row r="34">
      <c r="A34" s="4" t="n"/>
      <c r="B34" s="4" t="n"/>
      <c r="C34" s="13" t="n"/>
      <c r="D34" s="5" t="n"/>
      <c r="E34" s="4" t="n"/>
      <c r="F34" s="4" t="n"/>
    </row>
    <row r="35">
      <c r="A35" s="4" t="n"/>
      <c r="B35" s="4" t="n"/>
      <c r="C35" s="13" t="n"/>
      <c r="D35" s="5" t="n"/>
      <c r="E35" s="4" t="n"/>
      <c r="F35" s="4" t="n"/>
    </row>
    <row r="36">
      <c r="A36" s="4" t="n"/>
      <c r="B36" s="4" t="n"/>
      <c r="C36" s="13" t="n"/>
      <c r="D36" s="5" t="n"/>
      <c r="E36" s="4" t="n"/>
      <c r="F36" s="4" t="n"/>
    </row>
    <row r="37">
      <c r="A37" s="4" t="n"/>
      <c r="B37" s="4" t="n"/>
      <c r="C37" s="13" t="n"/>
      <c r="D37" s="5" t="n"/>
      <c r="E37" s="4" t="n"/>
      <c r="F37" s="4" t="n"/>
    </row>
    <row r="38">
      <c r="A38" s="4" t="n"/>
      <c r="B38" s="4" t="n"/>
      <c r="C38" s="13" t="n"/>
      <c r="D38" s="5" t="n"/>
      <c r="E38" s="4" t="n"/>
      <c r="F38" s="4" t="n"/>
    </row>
    <row r="39">
      <c r="A39" s="4" t="n"/>
      <c r="B39" s="4" t="n"/>
      <c r="C39" s="13" t="n"/>
      <c r="D39" s="5" t="n"/>
      <c r="E39" s="4" t="n"/>
      <c r="F39" s="4" t="n"/>
    </row>
    <row r="40">
      <c r="A40" s="4" t="n"/>
      <c r="B40" s="4" t="n"/>
      <c r="C40" s="13" t="n"/>
      <c r="D40" s="5" t="n"/>
      <c r="E40" s="4" t="n"/>
      <c r="F40" s="4" t="n"/>
    </row>
    <row r="41">
      <c r="A41" s="4" t="n"/>
      <c r="B41" s="4" t="n"/>
      <c r="C41" s="13" t="n"/>
      <c r="D41" s="5" t="n"/>
      <c r="E41" s="4" t="n"/>
      <c r="F41" s="4" t="n"/>
    </row>
    <row r="42">
      <c r="A42" s="4" t="n"/>
      <c r="B42" s="4" t="n"/>
      <c r="C42" s="13" t="n"/>
      <c r="D42" s="5" t="n"/>
      <c r="E42" s="4" t="n"/>
      <c r="F42" s="4" t="n"/>
    </row>
    <row r="43">
      <c r="A43" s="4" t="n"/>
      <c r="B43" s="4" t="n"/>
      <c r="C43" s="13" t="n"/>
      <c r="D43" s="5" t="n"/>
      <c r="E43" s="4" t="n"/>
      <c r="F43" s="4" t="n"/>
    </row>
    <row r="44">
      <c r="A44" s="4" t="n"/>
      <c r="B44" s="4" t="n"/>
      <c r="C44" s="13" t="n"/>
      <c r="D44" s="5" t="n"/>
      <c r="E44" s="4" t="n"/>
      <c r="F44" s="4" t="n"/>
    </row>
    <row r="45">
      <c r="A45" s="4" t="n"/>
      <c r="B45" s="4" t="n"/>
      <c r="C45" s="13" t="n"/>
      <c r="D45" s="5" t="n"/>
      <c r="E45" s="4" t="n"/>
      <c r="F45" s="4" t="n"/>
    </row>
    <row r="46">
      <c r="A46" s="4" t="n"/>
      <c r="B46" s="4" t="n"/>
      <c r="C46" s="13" t="n"/>
      <c r="D46" s="5" t="n"/>
      <c r="E46" s="4" t="n"/>
      <c r="F46" s="4" t="n"/>
    </row>
    <row r="47">
      <c r="A47" s="4" t="n"/>
      <c r="B47" s="4" t="n"/>
      <c r="C47" s="13" t="n"/>
      <c r="D47" s="5" t="n"/>
      <c r="E47" s="4" t="n"/>
      <c r="F47" s="4" t="n"/>
    </row>
    <row r="48">
      <c r="A48" s="4" t="n"/>
      <c r="B48" s="4" t="n"/>
      <c r="C48" s="13" t="n"/>
      <c r="D48" s="5" t="n"/>
      <c r="E48" s="4" t="n"/>
      <c r="F48" s="4" t="n"/>
    </row>
    <row r="49">
      <c r="A49" s="4" t="n"/>
      <c r="B49" s="4" t="n"/>
      <c r="C49" s="13" t="n"/>
      <c r="D49" s="5" t="n"/>
      <c r="E49" s="4" t="n"/>
      <c r="F49" s="4" t="n"/>
    </row>
    <row r="50">
      <c r="A50" s="4" t="n"/>
      <c r="B50" s="4" t="n"/>
      <c r="C50" s="13" t="n"/>
      <c r="D50" s="5" t="n"/>
      <c r="E50" s="4" t="n"/>
      <c r="F50" s="4" t="n"/>
    </row>
    <row r="51">
      <c r="A51" s="4" t="n"/>
      <c r="B51" s="4" t="n"/>
      <c r="C51" s="13" t="n"/>
      <c r="D51" s="5" t="n"/>
      <c r="E51" s="4" t="n"/>
      <c r="F51" s="4" t="n"/>
    </row>
    <row r="52">
      <c r="A52" s="4" t="n"/>
      <c r="B52" s="4" t="n"/>
      <c r="C52" s="13" t="n"/>
      <c r="D52" s="5" t="n"/>
      <c r="E52" s="4" t="n"/>
      <c r="F52" s="4" t="n"/>
    </row>
    <row r="53">
      <c r="A53" s="4" t="n"/>
      <c r="B53" s="4" t="n"/>
      <c r="C53" s="13" t="n"/>
      <c r="D53" s="5" t="n"/>
      <c r="E53" s="4" t="n"/>
      <c r="F53" s="4" t="n"/>
    </row>
    <row r="54">
      <c r="A54" s="4" t="n"/>
      <c r="B54" s="4" t="n"/>
      <c r="C54" s="13" t="n"/>
      <c r="D54" s="5" t="n"/>
      <c r="E54" s="4" t="n"/>
      <c r="F54" s="4" t="n"/>
    </row>
    <row r="55">
      <c r="A55" s="4" t="n"/>
      <c r="B55" s="4" t="n"/>
      <c r="C55" s="13" t="n"/>
      <c r="D55" s="5" t="n"/>
      <c r="E55" s="4" t="n"/>
      <c r="F55" s="4" t="n"/>
    </row>
    <row r="56">
      <c r="A56" s="4" t="n"/>
      <c r="B56" s="4" t="n"/>
      <c r="C56" s="13" t="n"/>
      <c r="D56" s="5" t="n"/>
      <c r="E56" s="4" t="n"/>
      <c r="F56" s="4" t="n"/>
    </row>
    <row r="57">
      <c r="A57" s="4" t="n"/>
      <c r="B57" s="4" t="n"/>
      <c r="C57" s="13" t="n"/>
      <c r="D57" s="5" t="n"/>
      <c r="E57" s="4" t="n"/>
      <c r="F57" s="4" t="n"/>
    </row>
    <row r="58">
      <c r="A58" s="4" t="n"/>
      <c r="B58" s="4" t="n"/>
      <c r="C58" s="13" t="n"/>
      <c r="D58" s="5" t="n"/>
      <c r="E58" s="4" t="n"/>
      <c r="F58" s="4" t="n"/>
    </row>
    <row r="59">
      <c r="A59" s="4" t="n"/>
      <c r="B59" s="4" t="n"/>
      <c r="C59" s="13" t="n"/>
      <c r="D59" s="5" t="n"/>
      <c r="E59" s="4" t="n"/>
      <c r="F59" s="4" t="n"/>
    </row>
    <row r="60">
      <c r="A60" s="4" t="n"/>
      <c r="B60" s="4" t="n"/>
      <c r="C60" s="13" t="n"/>
      <c r="D60" s="5" t="n"/>
      <c r="E60" s="4" t="n"/>
      <c r="F60" s="4" t="n"/>
    </row>
    <row r="61">
      <c r="A61" s="4" t="n"/>
      <c r="B61" s="4" t="n"/>
      <c r="C61" s="13" t="n"/>
      <c r="D61" s="5" t="n"/>
      <c r="E61" s="4" t="n"/>
      <c r="F61" s="4" t="n"/>
    </row>
    <row r="62">
      <c r="A62" s="4" t="n"/>
      <c r="B62" s="4" t="n"/>
      <c r="C62" s="13" t="n"/>
      <c r="D62" s="5" t="n"/>
      <c r="E62" s="4" t="n"/>
      <c r="F62" s="4" t="n"/>
    </row>
    <row r="63">
      <c r="A63" s="4" t="n"/>
      <c r="B63" s="4" t="n"/>
      <c r="C63" s="13" t="n"/>
      <c r="D63" s="5" t="n"/>
      <c r="E63" s="4" t="n"/>
      <c r="F63" s="4" t="n"/>
    </row>
    <row r="64">
      <c r="A64" s="4" t="n"/>
      <c r="B64" s="4" t="n"/>
      <c r="C64" s="13" t="n"/>
      <c r="D64" s="5" t="n"/>
      <c r="E64" s="4" t="n"/>
      <c r="F64" s="4" t="n"/>
    </row>
    <row r="65">
      <c r="A65" s="4" t="n"/>
      <c r="B65" s="4" t="n"/>
      <c r="C65" s="13" t="n"/>
      <c r="D65" s="5" t="n"/>
      <c r="E65" s="4" t="n"/>
      <c r="F65" s="4" t="n"/>
    </row>
    <row r="66">
      <c r="A66" s="4" t="n"/>
      <c r="B66" s="4" t="n"/>
      <c r="C66" s="13" t="n"/>
      <c r="D66" s="5" t="n"/>
      <c r="E66" s="4" t="n"/>
      <c r="F66" s="4" t="n"/>
    </row>
    <row r="67">
      <c r="A67" s="4" t="n"/>
      <c r="B67" s="4" t="n"/>
      <c r="C67" s="13" t="n"/>
      <c r="D67" s="5" t="n"/>
      <c r="E67" s="4" t="n"/>
      <c r="F67" s="4" t="n"/>
    </row>
    <row r="68">
      <c r="A68" s="4" t="n"/>
      <c r="B68" s="4" t="n"/>
      <c r="C68" s="13" t="n"/>
      <c r="D68" s="5" t="n"/>
      <c r="E68" s="4" t="n"/>
      <c r="F68" s="4" t="n"/>
    </row>
    <row r="69">
      <c r="A69" s="4" t="n"/>
      <c r="B69" s="4" t="n"/>
      <c r="C69" s="13" t="n"/>
      <c r="D69" s="5" t="n"/>
      <c r="E69" s="4" t="n"/>
      <c r="F69" s="4" t="n"/>
    </row>
    <row r="70">
      <c r="A70" s="4" t="n"/>
      <c r="B70" s="4" t="n"/>
      <c r="C70" s="13" t="n"/>
      <c r="D70" s="5" t="n"/>
      <c r="E70" s="4" t="n"/>
      <c r="F70" s="4" t="n"/>
    </row>
    <row r="71">
      <c r="A71" s="4" t="n"/>
      <c r="B71" s="4" t="n"/>
      <c r="C71" s="13" t="n"/>
      <c r="D71" s="5" t="n"/>
      <c r="E71" s="4" t="n"/>
      <c r="F71" s="4" t="n"/>
    </row>
    <row r="72">
      <c r="A72" s="4" t="n"/>
      <c r="B72" s="4" t="n"/>
      <c r="C72" s="13" t="n"/>
      <c r="D72" s="5" t="n"/>
      <c r="E72" s="4" t="n"/>
      <c r="F72" s="4" t="n"/>
    </row>
    <row r="73">
      <c r="A73" s="4" t="n"/>
      <c r="B73" s="4" t="n"/>
      <c r="C73" s="13" t="n"/>
      <c r="D73" s="5" t="n"/>
      <c r="E73" s="4" t="n"/>
      <c r="F73" s="4" t="n"/>
    </row>
    <row r="74">
      <c r="A74" s="4" t="n"/>
      <c r="B74" s="4" t="n"/>
      <c r="C74" s="13" t="n"/>
      <c r="D74" s="5" t="n"/>
      <c r="E74" s="4" t="n"/>
      <c r="F74" s="4" t="n"/>
    </row>
    <row r="75">
      <c r="A75" s="4" t="n"/>
      <c r="B75" s="4" t="n"/>
      <c r="C75" s="13" t="n"/>
      <c r="D75" s="5" t="n"/>
      <c r="E75" s="4" t="n"/>
      <c r="F75" s="4" t="n"/>
    </row>
    <row r="76">
      <c r="A76" s="4" t="n"/>
      <c r="B76" s="4" t="n"/>
      <c r="C76" s="13" t="n"/>
      <c r="D76" s="5" t="n"/>
      <c r="E76" s="4" t="n"/>
      <c r="F76" s="4" t="n"/>
    </row>
    <row r="77">
      <c r="A77" s="4" t="n"/>
      <c r="B77" s="4" t="n"/>
      <c r="C77" s="13" t="n"/>
      <c r="D77" s="5" t="n"/>
      <c r="E77" s="4" t="n"/>
      <c r="F77" s="4" t="n"/>
    </row>
    <row r="78">
      <c r="A78" s="4" t="n"/>
      <c r="B78" s="4" t="n"/>
      <c r="C78" s="13" t="n"/>
      <c r="D78" s="5" t="n"/>
      <c r="E78" s="4" t="n"/>
      <c r="F78" s="4" t="n"/>
    </row>
    <row r="79">
      <c r="A79" s="4" t="n"/>
      <c r="B79" s="4" t="n"/>
      <c r="C79" s="13" t="n"/>
      <c r="D79" s="5" t="n"/>
      <c r="E79" s="4" t="n"/>
      <c r="F79" s="4" t="n"/>
    </row>
    <row r="80">
      <c r="A80" s="4" t="n"/>
      <c r="B80" s="4" t="n"/>
      <c r="C80" s="13" t="n"/>
      <c r="D80" s="5" t="n"/>
      <c r="E80" s="4" t="n"/>
      <c r="F80" s="4" t="n"/>
    </row>
    <row r="81">
      <c r="A81" s="4" t="n"/>
      <c r="B81" s="4" t="n"/>
      <c r="C81" s="13" t="n"/>
      <c r="D81" s="5" t="n"/>
      <c r="E81" s="4" t="n"/>
      <c r="F81" s="4" t="n"/>
    </row>
    <row r="82">
      <c r="A82" s="4" t="n"/>
      <c r="B82" s="4" t="n"/>
      <c r="C82" s="13" t="n"/>
      <c r="D82" s="5" t="n"/>
      <c r="E82" s="4" t="n"/>
      <c r="F82" s="4" t="n"/>
    </row>
    <row r="83">
      <c r="A83" s="4" t="n"/>
      <c r="B83" s="4" t="n"/>
      <c r="C83" s="13" t="n"/>
      <c r="D83" s="5" t="n"/>
      <c r="E83" s="4" t="n"/>
      <c r="F83" s="4" t="n"/>
    </row>
    <row r="84">
      <c r="A84" s="4" t="n"/>
      <c r="B84" s="4" t="n"/>
      <c r="C84" s="13" t="n"/>
      <c r="D84" s="5" t="n"/>
      <c r="E84" s="4" t="n"/>
      <c r="F84" s="4" t="n"/>
    </row>
    <row r="85">
      <c r="A85" s="4" t="n"/>
      <c r="B85" s="4" t="n"/>
      <c r="C85" s="13" t="n"/>
      <c r="D85" s="5" t="n"/>
      <c r="E85" s="4" t="n"/>
      <c r="F85" s="4" t="n"/>
    </row>
    <row r="86">
      <c r="A86" s="4" t="n"/>
      <c r="B86" s="4" t="n"/>
      <c r="C86" s="13" t="n"/>
      <c r="D86" s="5" t="n"/>
      <c r="E86" s="4" t="n"/>
      <c r="F86" s="4" t="n"/>
    </row>
    <row r="87">
      <c r="A87" s="4" t="n"/>
      <c r="B87" s="4" t="n"/>
      <c r="C87" s="13" t="n"/>
      <c r="D87" s="5" t="n"/>
      <c r="E87" s="4" t="n"/>
      <c r="F87" s="4" t="n"/>
    </row>
    <row r="88">
      <c r="A88" s="4" t="n"/>
      <c r="B88" s="4" t="n"/>
      <c r="C88" s="13" t="n"/>
      <c r="D88" s="5" t="n"/>
      <c r="E88" s="4" t="n"/>
      <c r="F88" s="4" t="n"/>
    </row>
    <row r="89">
      <c r="A89" s="4" t="n"/>
      <c r="B89" s="4" t="n"/>
      <c r="C89" s="13" t="n"/>
      <c r="D89" s="5" t="n"/>
      <c r="E89" s="4" t="n"/>
      <c r="F89" s="4" t="n"/>
    </row>
    <row r="90">
      <c r="A90" s="4" t="n"/>
      <c r="B90" s="4" t="n"/>
      <c r="C90" s="13" t="n"/>
      <c r="D90" s="5" t="n"/>
      <c r="E90" s="4" t="n"/>
      <c r="F90" s="4" t="n"/>
    </row>
    <row r="91">
      <c r="A91" s="4" t="n"/>
      <c r="B91" s="4" t="n"/>
      <c r="C91" s="13" t="n"/>
      <c r="D91" s="5" t="n"/>
      <c r="E91" s="4" t="n"/>
      <c r="F91" s="4" t="n"/>
    </row>
    <row r="92">
      <c r="A92" s="4" t="n"/>
      <c r="B92" s="4" t="n"/>
      <c r="C92" s="13" t="n"/>
      <c r="D92" s="5" t="n"/>
      <c r="E92" s="4" t="n"/>
      <c r="F92" s="4" t="n"/>
    </row>
    <row r="93">
      <c r="A93" s="4" t="n"/>
      <c r="B93" s="4" t="n"/>
      <c r="C93" s="13" t="n"/>
      <c r="D93" s="5" t="n"/>
      <c r="E93" s="4" t="n"/>
      <c r="F93" s="4" t="n"/>
    </row>
    <row r="94">
      <c r="A94" s="4" t="n"/>
      <c r="B94" s="4" t="n"/>
      <c r="C94" s="13" t="n"/>
      <c r="D94" s="5" t="n"/>
      <c r="E94" s="4" t="n"/>
      <c r="F94" s="4" t="n"/>
    </row>
    <row r="95">
      <c r="A95" s="4" t="n"/>
      <c r="B95" s="4" t="n"/>
      <c r="C95" s="13" t="n"/>
      <c r="D95" s="5" t="n"/>
      <c r="E95" s="4" t="n"/>
      <c r="F95" s="4" t="n"/>
    </row>
    <row r="96">
      <c r="A96" s="4" t="n"/>
      <c r="B96" s="4" t="n"/>
      <c r="C96" s="13" t="n"/>
      <c r="D96" s="5" t="n"/>
      <c r="E96" s="4" t="n"/>
      <c r="F96" s="4" t="n"/>
    </row>
    <row r="97">
      <c r="A97" s="4" t="n"/>
      <c r="B97" s="4" t="n"/>
      <c r="C97" s="13" t="n"/>
      <c r="D97" s="5" t="n"/>
      <c r="E97" s="4" t="n"/>
      <c r="F97" s="4" t="n"/>
    </row>
    <row r="98">
      <c r="A98" s="4" t="n"/>
      <c r="B98" s="4" t="n"/>
      <c r="C98" s="13" t="n"/>
      <c r="D98" s="5" t="n"/>
      <c r="E98" s="4" t="n"/>
      <c r="F98" s="4" t="n"/>
    </row>
    <row r="99">
      <c r="A99" s="4" t="n"/>
      <c r="B99" s="4" t="n"/>
      <c r="C99" s="13" t="n"/>
      <c r="D99" s="5" t="n"/>
      <c r="E99" s="4" t="n"/>
      <c r="F99" s="4" t="n"/>
    </row>
    <row r="100">
      <c r="A100" s="4" t="n"/>
      <c r="B100" s="4" t="n"/>
      <c r="C100" s="13" t="n"/>
      <c r="D100" s="5" t="n"/>
      <c r="E100" s="4" t="n"/>
      <c r="F100" s="4" t="n"/>
    </row>
    <row r="101">
      <c r="A101" s="4" t="n"/>
      <c r="B101" s="4" t="n"/>
      <c r="C101" s="13" t="n"/>
      <c r="D101" s="5" t="n"/>
      <c r="E101" s="4" t="n"/>
      <c r="F101" s="4" t="n"/>
    </row>
    <row r="102">
      <c r="A102" s="4" t="n"/>
      <c r="B102" s="4" t="n"/>
      <c r="C102" s="13" t="n"/>
      <c r="D102" s="5" t="n"/>
      <c r="E102" s="4" t="n"/>
      <c r="F102" s="4" t="n"/>
    </row>
    <row r="103">
      <c r="A103" s="4" t="n"/>
      <c r="B103" s="4" t="n"/>
      <c r="C103" s="13" t="n"/>
      <c r="D103" s="5" t="n"/>
      <c r="E103" s="4" t="n"/>
      <c r="F103" s="4" t="n"/>
    </row>
    <row r="104">
      <c r="A104" s="4" t="n"/>
      <c r="B104" s="4" t="n"/>
      <c r="C104" s="13" t="n"/>
      <c r="D104" s="5" t="n"/>
      <c r="E104" s="4" t="n"/>
      <c r="F104" s="4" t="n"/>
    </row>
    <row r="105">
      <c r="A105" s="4" t="n"/>
      <c r="B105" s="4" t="n"/>
      <c r="C105" s="13" t="n"/>
      <c r="D105" s="5" t="n"/>
      <c r="E105" s="4" t="n"/>
      <c r="F105" s="4" t="n"/>
    </row>
    <row r="106">
      <c r="A106" s="4" t="n"/>
      <c r="B106" s="4" t="n"/>
      <c r="C106" s="13" t="n"/>
      <c r="D106" s="5" t="n"/>
      <c r="E106" s="4" t="n"/>
      <c r="F106" s="4" t="n"/>
    </row>
    <row r="107">
      <c r="A107" s="4" t="n"/>
      <c r="B107" s="4" t="n"/>
      <c r="C107" s="13" t="n"/>
      <c r="D107" s="5" t="n"/>
      <c r="E107" s="4" t="n"/>
      <c r="F107" s="4" t="n"/>
    </row>
    <row r="108">
      <c r="A108" s="4" t="n"/>
      <c r="B108" s="4" t="n"/>
      <c r="C108" s="13" t="n"/>
      <c r="D108" s="5" t="n"/>
      <c r="E108" s="4" t="n"/>
      <c r="F108" s="4" t="n"/>
    </row>
    <row r="109">
      <c r="A109" s="4" t="n"/>
      <c r="B109" s="4" t="n"/>
      <c r="C109" s="13" t="n"/>
      <c r="D109" s="5" t="n"/>
      <c r="E109" s="4" t="n"/>
      <c r="F109" s="4" t="n"/>
    </row>
    <row r="110">
      <c r="A110" s="4" t="n"/>
      <c r="B110" s="4" t="n"/>
      <c r="C110" s="13" t="n"/>
      <c r="D110" s="5" t="n"/>
      <c r="E110" s="4" t="n"/>
      <c r="F110" s="4" t="n"/>
    </row>
    <row r="111">
      <c r="A111" s="4" t="n"/>
      <c r="B111" s="4" t="n"/>
      <c r="C111" s="13" t="n"/>
      <c r="D111" s="5" t="n"/>
      <c r="E111" s="4" t="n"/>
      <c r="F111" s="4" t="n"/>
    </row>
    <row r="112">
      <c r="A112" s="4" t="n"/>
      <c r="B112" s="4" t="n"/>
      <c r="C112" s="13" t="n"/>
      <c r="D112" s="5" t="n"/>
      <c r="E112" s="4" t="n"/>
      <c r="F112" s="4" t="n"/>
    </row>
    <row r="113">
      <c r="A113" s="4" t="n"/>
      <c r="B113" s="4" t="n"/>
      <c r="C113" s="13" t="n"/>
      <c r="D113" s="5" t="n"/>
      <c r="E113" s="4" t="n"/>
      <c r="F113" s="4" t="n"/>
    </row>
    <row r="114">
      <c r="A114" s="4" t="n"/>
      <c r="B114" s="4" t="n"/>
      <c r="C114" s="13" t="n"/>
      <c r="D114" s="5" t="n"/>
      <c r="E114" s="4" t="n"/>
      <c r="F114" s="4" t="n"/>
    </row>
    <row r="115">
      <c r="A115" s="4" t="n"/>
      <c r="B115" s="4" t="n"/>
      <c r="C115" s="13" t="n"/>
      <c r="D115" s="5" t="n"/>
      <c r="E115" s="4" t="n"/>
      <c r="F115" s="4" t="n"/>
    </row>
    <row r="116">
      <c r="A116" s="4" t="n"/>
      <c r="B116" s="4" t="n"/>
      <c r="C116" s="13" t="n"/>
      <c r="D116" s="5" t="n"/>
      <c r="E116" s="4" t="n"/>
      <c r="F116" s="4" t="n"/>
    </row>
    <row r="117">
      <c r="A117" s="4" t="n"/>
      <c r="B117" s="4" t="n"/>
      <c r="C117" s="13" t="n"/>
      <c r="D117" s="5" t="n"/>
      <c r="E117" s="4" t="n"/>
      <c r="F117" s="4" t="n"/>
    </row>
    <row r="118">
      <c r="A118" s="4" t="n"/>
      <c r="B118" s="4" t="n"/>
      <c r="C118" s="13" t="n"/>
      <c r="D118" s="5" t="n"/>
      <c r="E118" s="4" t="n"/>
      <c r="F118" s="4" t="n"/>
    </row>
    <row r="119">
      <c r="A119" s="4" t="n"/>
      <c r="B119" s="4" t="n"/>
      <c r="C119" s="13" t="n"/>
      <c r="D119" s="5" t="n"/>
      <c r="E119" s="4" t="n"/>
      <c r="F119" s="4" t="n"/>
    </row>
    <row r="120">
      <c r="A120" s="4" t="n"/>
      <c r="B120" s="4" t="n"/>
      <c r="C120" s="13" t="n"/>
      <c r="D120" s="5" t="n"/>
      <c r="E120" s="4" t="n"/>
      <c r="F120" s="4" t="n"/>
    </row>
    <row r="121">
      <c r="A121" s="4" t="n"/>
      <c r="B121" s="4" t="n"/>
      <c r="C121" s="13" t="n"/>
      <c r="D121" s="5" t="n"/>
      <c r="E121" s="4" t="n"/>
      <c r="F121" s="4" t="n"/>
    </row>
    <row r="122">
      <c r="A122" s="4" t="n"/>
      <c r="B122" s="4" t="n"/>
      <c r="C122" s="13" t="n"/>
      <c r="D122" s="5" t="n"/>
      <c r="E122" s="4" t="n"/>
      <c r="F122" s="4" t="n"/>
    </row>
    <row r="123">
      <c r="A123" s="4" t="n"/>
      <c r="B123" s="4" t="n"/>
      <c r="C123" s="13" t="n"/>
      <c r="D123" s="5" t="n"/>
      <c r="E123" s="4" t="n"/>
      <c r="F123" s="4" t="n"/>
    </row>
    <row r="124">
      <c r="A124" s="4" t="n"/>
      <c r="B124" s="4" t="n"/>
      <c r="C124" s="13" t="n"/>
      <c r="D124" s="5" t="n"/>
      <c r="E124" s="4" t="n"/>
      <c r="F124" s="4" t="n"/>
    </row>
    <row r="125">
      <c r="A125" s="4" t="n"/>
      <c r="B125" s="4" t="n"/>
      <c r="C125" s="13" t="n"/>
      <c r="D125" s="5" t="n"/>
      <c r="E125" s="4" t="n"/>
      <c r="F125" s="4" t="n"/>
    </row>
    <row r="126">
      <c r="A126" s="4" t="n"/>
      <c r="B126" s="4" t="n"/>
      <c r="C126" s="13" t="n"/>
      <c r="D126" s="5" t="n"/>
      <c r="E126" s="4" t="n"/>
      <c r="F126" s="4" t="n"/>
    </row>
    <row r="127">
      <c r="A127" s="4" t="n"/>
      <c r="B127" s="4" t="n"/>
      <c r="C127" s="13" t="n"/>
      <c r="D127" s="5" t="n"/>
      <c r="E127" s="4" t="n"/>
      <c r="F127" s="4" t="n"/>
    </row>
    <row r="128">
      <c r="A128" s="4" t="n"/>
      <c r="B128" s="4" t="n"/>
      <c r="C128" s="13" t="n"/>
      <c r="D128" s="5" t="n"/>
      <c r="E128" s="4" t="n"/>
      <c r="F128" s="4" t="n"/>
    </row>
    <row r="129">
      <c r="A129" s="4" t="n"/>
      <c r="B129" s="4" t="n"/>
      <c r="C129" s="13" t="n"/>
      <c r="D129" s="5" t="n"/>
      <c r="E129" s="4" t="n"/>
      <c r="F129" s="4" t="n"/>
    </row>
    <row r="130">
      <c r="A130" s="4" t="n"/>
      <c r="B130" s="4" t="n"/>
      <c r="C130" s="13" t="n"/>
      <c r="D130" s="5" t="n"/>
      <c r="E130" s="4" t="n"/>
      <c r="F130" s="4" t="n"/>
    </row>
    <row r="131">
      <c r="A131" s="4" t="n"/>
      <c r="B131" s="4" t="n"/>
      <c r="C131" s="13" t="n"/>
      <c r="D131" s="5" t="n"/>
      <c r="E131" s="4" t="n"/>
      <c r="F131" s="4" t="n"/>
    </row>
    <row r="132">
      <c r="A132" s="4" t="n"/>
      <c r="B132" s="4" t="n"/>
      <c r="C132" s="13" t="n"/>
      <c r="D132" s="5" t="n"/>
      <c r="E132" s="4" t="n"/>
      <c r="F132" s="4" t="n"/>
    </row>
    <row r="133">
      <c r="A133" s="4" t="n"/>
      <c r="B133" s="4" t="n"/>
      <c r="C133" s="13" t="n"/>
      <c r="D133" s="5" t="n"/>
      <c r="E133" s="4" t="n"/>
      <c r="F133" s="4" t="n"/>
    </row>
    <row r="134">
      <c r="A134" s="4" t="n"/>
      <c r="B134" s="4" t="n"/>
      <c r="C134" s="13" t="n"/>
      <c r="D134" s="5" t="n"/>
      <c r="E134" s="4" t="n"/>
      <c r="F134" s="4" t="n"/>
    </row>
    <row r="135">
      <c r="A135" s="4" t="n"/>
      <c r="B135" s="4" t="n"/>
      <c r="C135" s="13" t="n"/>
      <c r="D135" s="5" t="n"/>
      <c r="E135" s="4" t="n"/>
      <c r="F135" s="4" t="n"/>
    </row>
    <row r="136">
      <c r="A136" s="4" t="n"/>
      <c r="B136" s="4" t="n"/>
      <c r="C136" s="13" t="n"/>
      <c r="D136" s="5" t="n"/>
      <c r="E136" s="4" t="n"/>
      <c r="F136" s="4" t="n"/>
    </row>
    <row r="137">
      <c r="A137" s="4" t="n"/>
      <c r="B137" s="4" t="n"/>
      <c r="C137" s="13" t="n"/>
      <c r="D137" s="5" t="n"/>
      <c r="E137" s="4" t="n"/>
      <c r="F137" s="4" t="n"/>
    </row>
    <row r="138">
      <c r="A138" s="4" t="n"/>
      <c r="B138" s="4" t="n"/>
      <c r="C138" s="13" t="n"/>
      <c r="D138" s="5" t="n"/>
      <c r="E138" s="4" t="n"/>
      <c r="F138" s="4" t="n"/>
    </row>
    <row r="139">
      <c r="A139" s="4" t="n"/>
      <c r="B139" s="4" t="n"/>
      <c r="C139" s="13" t="n"/>
      <c r="D139" s="5" t="n"/>
      <c r="E139" s="4" t="n"/>
      <c r="F139" s="4" t="n"/>
    </row>
    <row r="140">
      <c r="A140" s="4" t="n"/>
      <c r="B140" s="4" t="n"/>
      <c r="C140" s="13" t="n"/>
      <c r="D140" s="5" t="n"/>
      <c r="E140" s="4" t="n"/>
      <c r="F140" s="4" t="n"/>
    </row>
    <row r="141">
      <c r="A141" s="4" t="n"/>
      <c r="B141" s="4" t="n"/>
      <c r="C141" s="13" t="n"/>
      <c r="D141" s="5" t="n"/>
      <c r="E141" s="4" t="n"/>
      <c r="F141" s="4" t="n"/>
    </row>
    <row r="142">
      <c r="A142" s="4" t="n"/>
      <c r="B142" s="4" t="n"/>
      <c r="C142" s="13" t="n"/>
      <c r="D142" s="5" t="n"/>
      <c r="E142" s="4" t="n"/>
      <c r="F142" s="4" t="n"/>
    </row>
    <row r="143">
      <c r="A143" s="4" t="n"/>
      <c r="B143" s="4" t="n"/>
      <c r="C143" s="13" t="n"/>
      <c r="D143" s="5" t="n"/>
      <c r="E143" s="4" t="n"/>
      <c r="F143" s="4" t="n"/>
    </row>
    <row r="144">
      <c r="A144" s="4" t="n"/>
      <c r="B144" s="4" t="n"/>
      <c r="C144" s="13" t="n"/>
      <c r="D144" s="5" t="n"/>
      <c r="E144" s="4" t="n"/>
      <c r="F144" s="4" t="n"/>
    </row>
    <row r="145">
      <c r="A145" s="4" t="n"/>
      <c r="B145" s="4" t="n"/>
      <c r="C145" s="13" t="n"/>
      <c r="D145" s="5" t="n"/>
      <c r="E145" s="4" t="n"/>
      <c r="F145" s="4" t="n"/>
    </row>
    <row r="146">
      <c r="A146" s="4" t="n"/>
      <c r="B146" s="4" t="n"/>
      <c r="C146" s="13" t="n"/>
      <c r="D146" s="5" t="n"/>
      <c r="E146" s="4" t="n"/>
      <c r="F146" s="4" t="n"/>
    </row>
    <row r="147">
      <c r="A147" s="4" t="n"/>
      <c r="B147" s="4" t="n"/>
      <c r="C147" s="13" t="n"/>
      <c r="D147" s="5" t="n"/>
      <c r="E147" s="4" t="n"/>
      <c r="F147" s="4" t="n"/>
    </row>
    <row r="148">
      <c r="A148" s="4" t="n"/>
      <c r="B148" s="4" t="n"/>
      <c r="C148" s="13" t="n"/>
      <c r="D148" s="5" t="n"/>
      <c r="E148" s="4" t="n"/>
      <c r="F148" s="4" t="n"/>
    </row>
    <row r="149">
      <c r="A149" s="4" t="n"/>
      <c r="B149" s="4" t="n"/>
      <c r="C149" s="13" t="n"/>
      <c r="D149" s="5" t="n"/>
      <c r="E149" s="4" t="n"/>
      <c r="F149" s="4" t="n"/>
    </row>
    <row r="150">
      <c r="A150" s="4" t="n"/>
      <c r="B150" s="4" t="n"/>
      <c r="C150" s="13" t="n"/>
      <c r="D150" s="5" t="n"/>
      <c r="E150" s="4" t="n"/>
      <c r="F150" s="4" t="n"/>
    </row>
    <row r="151">
      <c r="A151" s="4" t="n"/>
      <c r="B151" s="4" t="n"/>
      <c r="C151" s="13" t="n"/>
      <c r="D151" s="5" t="n"/>
      <c r="E151" s="4" t="n"/>
      <c r="F151" s="4" t="n"/>
    </row>
    <row r="152">
      <c r="A152" s="4" t="n"/>
      <c r="B152" s="4" t="n"/>
      <c r="C152" s="13" t="n"/>
      <c r="D152" s="5" t="n"/>
      <c r="E152" s="4" t="n"/>
      <c r="F152" s="4" t="n"/>
    </row>
    <row r="153">
      <c r="A153" s="4" t="n"/>
      <c r="B153" s="4" t="n"/>
      <c r="C153" s="13" t="n"/>
      <c r="D153" s="5" t="n"/>
      <c r="E153" s="4" t="n"/>
      <c r="F153" s="4" t="n"/>
    </row>
    <row r="154">
      <c r="A154" s="4" t="n"/>
      <c r="B154" s="4" t="n"/>
      <c r="C154" s="13" t="n"/>
      <c r="D154" s="5" t="n"/>
      <c r="E154" s="4" t="n"/>
      <c r="F154" s="4" t="n"/>
    </row>
    <row r="155">
      <c r="A155" s="4" t="n"/>
      <c r="B155" s="4" t="n"/>
      <c r="C155" s="13" t="n"/>
      <c r="D155" s="5" t="n"/>
      <c r="E155" s="4" t="n"/>
      <c r="F155" s="4" t="n"/>
    </row>
    <row r="156">
      <c r="A156" s="4" t="n"/>
      <c r="B156" s="4" t="n"/>
      <c r="C156" s="13" t="n"/>
      <c r="D156" s="5" t="n"/>
      <c r="E156" s="4" t="n"/>
      <c r="F156" s="4" t="n"/>
    </row>
    <row r="157">
      <c r="A157" s="4" t="n"/>
      <c r="B157" s="4" t="n"/>
      <c r="C157" s="13" t="n"/>
      <c r="D157" s="5" t="n"/>
      <c r="E157" s="4" t="n"/>
      <c r="F157" s="4" t="n"/>
    </row>
    <row r="158">
      <c r="A158" s="4" t="n"/>
      <c r="B158" s="4" t="n"/>
      <c r="C158" s="13" t="n"/>
      <c r="D158" s="5" t="n"/>
      <c r="E158" s="4" t="n"/>
      <c r="F158" s="4" t="n"/>
    </row>
    <row r="159">
      <c r="A159" s="4" t="n"/>
      <c r="B159" s="4" t="n"/>
      <c r="C159" s="13" t="n"/>
      <c r="D159" s="5" t="n"/>
      <c r="E159" s="4" t="n"/>
      <c r="F159" s="4" t="n"/>
    </row>
    <row r="160">
      <c r="A160" s="4" t="n"/>
      <c r="B160" s="4" t="n"/>
      <c r="C160" s="13" t="n"/>
      <c r="D160" s="5" t="n"/>
      <c r="E160" s="4" t="n"/>
      <c r="F160" s="4" t="n"/>
    </row>
    <row r="161">
      <c r="A161" s="4" t="n"/>
      <c r="B161" s="4" t="n"/>
      <c r="C161" s="13" t="n"/>
      <c r="D161" s="5" t="n"/>
      <c r="E161" s="4" t="n"/>
      <c r="F161" s="4" t="n"/>
    </row>
    <row r="162">
      <c r="A162" s="4" t="n"/>
      <c r="B162" s="4" t="n"/>
      <c r="C162" s="13" t="n"/>
      <c r="D162" s="5" t="n"/>
      <c r="E162" s="4" t="n"/>
      <c r="F162" s="4" t="n"/>
    </row>
    <row r="163">
      <c r="A163" s="4" t="n"/>
      <c r="B163" s="4" t="n"/>
      <c r="C163" s="13" t="n"/>
      <c r="D163" s="5" t="n"/>
      <c r="E163" s="4" t="n"/>
      <c r="F163" s="4" t="n"/>
    </row>
    <row r="164">
      <c r="A164" s="4" t="n"/>
      <c r="B164" s="4" t="n"/>
      <c r="C164" s="13" t="n"/>
      <c r="D164" s="5" t="n"/>
      <c r="E164" s="4" t="n"/>
      <c r="F164" s="4" t="n"/>
    </row>
    <row r="165">
      <c r="A165" s="4" t="n"/>
      <c r="B165" s="4" t="n"/>
      <c r="C165" s="13" t="n"/>
      <c r="D165" s="5" t="n"/>
      <c r="E165" s="4" t="n"/>
      <c r="F165" s="4" t="n"/>
    </row>
    <row r="166">
      <c r="A166" s="4" t="n"/>
      <c r="B166" s="4" t="n"/>
      <c r="C166" s="13" t="n"/>
      <c r="D166" s="5" t="n"/>
      <c r="E166" s="4" t="n"/>
      <c r="F166" s="4" t="n"/>
    </row>
    <row r="167">
      <c r="A167" s="4" t="n"/>
      <c r="B167" s="4" t="n"/>
      <c r="C167" s="13" t="n"/>
      <c r="D167" s="5" t="n"/>
      <c r="E167" s="4" t="n"/>
      <c r="F167" s="4" t="n"/>
    </row>
    <row r="168">
      <c r="A168" s="4" t="n"/>
      <c r="B168" s="4" t="n"/>
      <c r="C168" s="13" t="n"/>
      <c r="D168" s="5" t="n"/>
      <c r="E168" s="4" t="n"/>
      <c r="F168" s="4" t="n"/>
    </row>
    <row r="169">
      <c r="A169" s="4" t="n"/>
      <c r="B169" s="4" t="n"/>
      <c r="C169" s="13" t="n"/>
      <c r="D169" s="5" t="n"/>
      <c r="E169" s="4" t="n"/>
      <c r="F169" s="4" t="n"/>
    </row>
    <row r="170">
      <c r="A170" s="4" t="n"/>
      <c r="B170" s="4" t="n"/>
      <c r="C170" s="13" t="n"/>
      <c r="D170" s="5" t="n"/>
      <c r="E170" s="4" t="n"/>
      <c r="F170" s="4" t="n"/>
    </row>
    <row r="171">
      <c r="A171" s="4" t="n"/>
      <c r="B171" s="4" t="n"/>
      <c r="C171" s="13" t="n"/>
      <c r="D171" s="5" t="n"/>
      <c r="E171" s="4" t="n"/>
      <c r="F171" s="4" t="n"/>
    </row>
    <row r="172">
      <c r="A172" s="4" t="n"/>
      <c r="B172" s="4" t="n"/>
      <c r="C172" s="13" t="n"/>
      <c r="D172" s="5" t="n"/>
      <c r="E172" s="4" t="n"/>
      <c r="F172" s="4" t="n"/>
    </row>
    <row r="173">
      <c r="A173" s="4" t="n"/>
      <c r="B173" s="4" t="n"/>
      <c r="C173" s="13" t="n"/>
      <c r="D173" s="5" t="n"/>
      <c r="E173" s="4" t="n"/>
      <c r="F173" s="4" t="n"/>
    </row>
    <row r="174">
      <c r="A174" s="4" t="n"/>
      <c r="B174" s="4" t="n"/>
      <c r="C174" s="13" t="n"/>
      <c r="D174" s="5" t="n"/>
      <c r="E174" s="4" t="n"/>
      <c r="F174" s="4" t="n"/>
    </row>
    <row r="175">
      <c r="A175" s="4" t="n"/>
      <c r="B175" s="4" t="n"/>
      <c r="C175" s="13" t="n"/>
      <c r="D175" s="5" t="n"/>
      <c r="E175" s="4" t="n"/>
      <c r="F175" s="4" t="n"/>
    </row>
    <row r="176">
      <c r="A176" s="4" t="n"/>
      <c r="B176" s="4" t="n"/>
      <c r="C176" s="13" t="n"/>
      <c r="D176" s="5" t="n"/>
      <c r="E176" s="4" t="n"/>
      <c r="F176" s="4" t="n"/>
    </row>
    <row r="177">
      <c r="A177" s="4" t="n"/>
      <c r="B177" s="4" t="n"/>
      <c r="C177" s="13" t="n"/>
      <c r="D177" s="5" t="n"/>
      <c r="E177" s="4" t="n"/>
      <c r="F177" s="4" t="n"/>
    </row>
    <row r="178">
      <c r="A178" s="4" t="n"/>
      <c r="B178" s="4" t="n"/>
      <c r="C178" s="13" t="n"/>
      <c r="D178" s="5" t="n"/>
      <c r="E178" s="4" t="n"/>
      <c r="F178" s="4" t="n"/>
    </row>
    <row r="179">
      <c r="A179" s="4" t="n"/>
      <c r="B179" s="4" t="n"/>
      <c r="C179" s="13" t="n"/>
      <c r="D179" s="5" t="n"/>
      <c r="E179" s="4" t="n"/>
      <c r="F179" s="4" t="n"/>
    </row>
    <row r="180">
      <c r="A180" s="4" t="n"/>
      <c r="B180" s="4" t="n"/>
      <c r="C180" s="13" t="n"/>
      <c r="D180" s="5" t="n"/>
      <c r="E180" s="4" t="n"/>
      <c r="F180" s="4" t="n"/>
    </row>
    <row r="181">
      <c r="A181" s="4" t="n"/>
      <c r="B181" s="4" t="n"/>
      <c r="C181" s="13" t="n"/>
      <c r="D181" s="5" t="n"/>
      <c r="E181" s="4" t="n"/>
      <c r="F181" s="4" t="n"/>
    </row>
    <row r="182">
      <c r="A182" s="4" t="n"/>
      <c r="B182" s="4" t="n"/>
      <c r="C182" s="13" t="n"/>
      <c r="D182" s="5" t="n"/>
      <c r="E182" s="4" t="n"/>
      <c r="F182" s="4" t="n"/>
    </row>
    <row r="183">
      <c r="A183" s="4" t="n"/>
      <c r="B183" s="4" t="n"/>
      <c r="C183" s="13" t="n"/>
      <c r="D183" s="5" t="n"/>
      <c r="E183" s="4" t="n"/>
      <c r="F183" s="4" t="n"/>
    </row>
    <row r="184">
      <c r="A184" s="4" t="n"/>
      <c r="B184" s="4" t="n"/>
      <c r="C184" s="13" t="n"/>
      <c r="D184" s="5" t="n"/>
      <c r="E184" s="4" t="n"/>
      <c r="F184" s="4" t="n"/>
    </row>
    <row r="185">
      <c r="A185" s="4" t="n"/>
      <c r="B185" s="4" t="n"/>
      <c r="C185" s="13" t="n"/>
      <c r="D185" s="5" t="n"/>
      <c r="E185" s="4" t="n"/>
      <c r="F185" s="4" t="n"/>
    </row>
    <row r="186">
      <c r="A186" s="4" t="n"/>
      <c r="B186" s="4" t="n"/>
      <c r="C186" s="13" t="n"/>
      <c r="D186" s="5" t="n"/>
      <c r="E186" s="4" t="n"/>
      <c r="F186" s="4" t="n"/>
    </row>
    <row r="187">
      <c r="A187" s="4" t="n"/>
      <c r="B187" s="4" t="n"/>
      <c r="C187" s="13" t="n"/>
      <c r="D187" s="5" t="n"/>
      <c r="E187" s="4" t="n"/>
      <c r="F187" s="4" t="n"/>
    </row>
    <row r="188">
      <c r="A188" s="4" t="n"/>
      <c r="B188" s="4" t="n"/>
      <c r="C188" s="13" t="n"/>
      <c r="D188" s="5" t="n"/>
      <c r="E188" s="4" t="n"/>
      <c r="F188" s="4" t="n"/>
    </row>
    <row r="189">
      <c r="A189" s="4" t="n"/>
      <c r="B189" s="4" t="n"/>
      <c r="C189" s="13" t="n"/>
      <c r="D189" s="5" t="n"/>
      <c r="E189" s="4" t="n"/>
      <c r="F189" s="4" t="n"/>
    </row>
    <row r="190">
      <c r="A190" s="4" t="n"/>
      <c r="B190" s="4" t="n"/>
      <c r="C190" s="13" t="n"/>
      <c r="D190" s="5" t="n"/>
      <c r="E190" s="4" t="n"/>
      <c r="F190" s="4" t="n"/>
    </row>
    <row r="191">
      <c r="A191" s="4" t="n"/>
      <c r="B191" s="4" t="n"/>
      <c r="C191" s="13" t="n"/>
      <c r="D191" s="5" t="n"/>
      <c r="E191" s="4" t="n"/>
      <c r="F191" s="4" t="n"/>
    </row>
    <row r="192">
      <c r="A192" s="4" t="n"/>
      <c r="B192" s="4" t="n"/>
      <c r="C192" s="13" t="n"/>
      <c r="D192" s="5" t="n"/>
      <c r="E192" s="4" t="n"/>
      <c r="F192" s="4" t="n"/>
    </row>
    <row r="193">
      <c r="A193" s="4" t="n"/>
      <c r="B193" s="4" t="n"/>
      <c r="C193" s="13" t="n"/>
      <c r="D193" s="5" t="n"/>
      <c r="E193" s="4" t="n"/>
      <c r="F193" s="4" t="n"/>
    </row>
    <row r="194">
      <c r="A194" s="4" t="n"/>
      <c r="B194" s="4" t="n"/>
      <c r="C194" s="13" t="n"/>
      <c r="D194" s="5" t="n"/>
      <c r="E194" s="4" t="n"/>
      <c r="F194" s="4" t="n"/>
    </row>
    <row r="195">
      <c r="A195" s="4" t="n"/>
      <c r="B195" s="4" t="n"/>
      <c r="C195" s="13" t="n"/>
      <c r="D195" s="5" t="n"/>
      <c r="E195" s="4" t="n"/>
      <c r="F195" s="4" t="n"/>
    </row>
    <row r="196">
      <c r="A196" s="4" t="n"/>
      <c r="B196" s="4" t="n"/>
      <c r="C196" s="13" t="n"/>
      <c r="D196" s="5" t="n"/>
      <c r="E196" s="4" t="n"/>
      <c r="F196" s="4" t="n"/>
    </row>
    <row r="197">
      <c r="A197" s="4" t="n"/>
      <c r="B197" s="4" t="n"/>
      <c r="C197" s="13" t="n"/>
      <c r="D197" s="5" t="n"/>
      <c r="E197" s="4" t="n"/>
      <c r="F197" s="4" t="n"/>
    </row>
    <row r="198">
      <c r="A198" s="4" t="n"/>
      <c r="B198" s="4" t="n"/>
      <c r="C198" s="13" t="n"/>
      <c r="D198" s="5" t="n"/>
      <c r="E198" s="4" t="n"/>
      <c r="F198" s="4" t="n"/>
    </row>
    <row r="199">
      <c r="A199" s="4" t="n"/>
      <c r="B199" s="4" t="n"/>
      <c r="C199" s="13" t="n"/>
      <c r="D199" s="5" t="n"/>
      <c r="E199" s="4" t="n"/>
      <c r="F199" s="4" t="n"/>
    </row>
    <row r="200">
      <c r="A200" s="4" t="n"/>
      <c r="B200" s="4" t="n"/>
      <c r="C200" s="13" t="n"/>
      <c r="D200" s="5" t="n"/>
      <c r="E200" s="4" t="n"/>
      <c r="F200" s="4" t="n"/>
    </row>
  </sheetData>
  <dataValidations count="1">
    <dataValidation sqref="E2:E200" showDropDown="0" showInputMessage="0" showErrorMessage="0" allowBlank="1" type="list">
      <formula1>"Not Started,In Progress,Completed,On Hold"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3"/>
  <sheetViews>
    <sheetView workbookViewId="0">
      <pane ySplit="1" topLeftCell="A8" activePane="bottomLeft" state="frozen"/>
      <selection pane="bottomLeft" activeCell="B21" sqref="B21"/>
    </sheetView>
  </sheetViews>
  <sheetFormatPr baseColWidth="8" defaultRowHeight="14.45"/>
  <cols>
    <col width="43.140625" customWidth="1" min="1" max="1"/>
    <col width="40" customWidth="1" min="2" max="2"/>
    <col width="16" customWidth="1" min="3" max="3"/>
    <col width="12" customWidth="1" min="4" max="5"/>
    <col width="20" customWidth="1" min="6" max="6"/>
    <col width="40" customWidth="1" min="7" max="7"/>
    <col width="18" customWidth="1" min="8" max="8"/>
    <col width="16" customWidth="1" min="9" max="9"/>
    <col width="14" customWidth="1" min="10" max="10"/>
  </cols>
  <sheetData>
    <row r="1" ht="29.1" customHeight="1">
      <c r="A1" s="3" t="inlineStr">
        <is>
          <t>ID</t>
        </is>
      </c>
      <c r="B1" s="3" t="inlineStr">
        <is>
          <t>Risk / Issue</t>
        </is>
      </c>
      <c r="C1" s="3" t="inlineStr">
        <is>
          <t>Type (Risk/Issue)</t>
        </is>
      </c>
      <c r="D1" s="3" t="inlineStr">
        <is>
          <t>Impact</t>
        </is>
      </c>
      <c r="E1" s="3" t="inlineStr">
        <is>
          <t>Likelihood</t>
        </is>
      </c>
      <c r="F1" s="3" t="inlineStr">
        <is>
          <t>Severity (=Impact x Likelihood)</t>
        </is>
      </c>
      <c r="G1" s="3" t="inlineStr">
        <is>
          <t>Mitigation / Action</t>
        </is>
      </c>
      <c r="H1" s="3" t="inlineStr">
        <is>
          <t>Owner</t>
        </is>
      </c>
      <c r="I1" s="3" t="inlineStr">
        <is>
          <t>Target Date</t>
        </is>
      </c>
      <c r="J1" s="3" t="inlineStr">
        <is>
          <t>Status</t>
        </is>
      </c>
    </row>
    <row r="2">
      <c r="A2" s="4" t="n"/>
      <c r="B2" s="4" t="inlineStr">
        <is>
          <t>Azure license</t>
        </is>
      </c>
      <c r="C2" s="4" t="n"/>
      <c r="D2" s="4" t="n"/>
      <c r="E2" s="4" t="n"/>
      <c r="F2" s="4">
        <f>IF(D2="", "", (IF(D2="Low",1,IF(D2="Medium",2,IF(D2="High",3,0)))) * (IF(E2="Low",1,IF(E2="Medium",2,IF(E2="High",3,0)))))</f>
        <v/>
      </c>
      <c r="G2" s="4" t="n"/>
      <c r="H2" s="4" t="n"/>
      <c r="I2" s="5" t="n"/>
      <c r="J2" s="4" t="n"/>
    </row>
    <row r="3">
      <c r="A3" s="4" t="n"/>
      <c r="B3" s="4" t="inlineStr">
        <is>
          <t>Resource Group needs to be created</t>
        </is>
      </c>
      <c r="C3" s="4" t="n"/>
      <c r="D3" s="4" t="n"/>
      <c r="E3" s="4" t="n"/>
      <c r="F3" s="4">
        <f>IF(D3="", "", (IF(D3="Low",1,IF(D3="Medium",2,IF(D3="High",3,0)))) * (IF(E3="Low",1,IF(E3="Medium",2,IF(E3="High",3,0)))))</f>
        <v/>
      </c>
      <c r="G3" s="4" t="n"/>
      <c r="H3" s="4" t="n"/>
      <c r="I3" s="5" t="n"/>
      <c r="J3" s="4" t="n"/>
    </row>
    <row r="4">
      <c r="A4" s="4" t="n"/>
      <c r="B4" s="4" t="inlineStr">
        <is>
          <t>Postgress</t>
        </is>
      </c>
      <c r="C4" s="4" t="n"/>
      <c r="D4" s="4" t="n"/>
      <c r="E4" s="4" t="n"/>
      <c r="F4" s="4">
        <f>IF(D4="", "", (IF(D4="Low",1,IF(D4="Medium",2,IF(D4="High",3,0)))) * (IF(E4="Low",1,IF(E4="Medium",2,IF(E4="High",3,0)))))</f>
        <v/>
      </c>
      <c r="G4" s="4" t="n"/>
      <c r="H4" s="4" t="n"/>
      <c r="I4" s="5" t="n"/>
      <c r="J4" s="4" t="n"/>
    </row>
    <row r="5">
      <c r="A5" s="4" t="n"/>
      <c r="B5" s="4" t="inlineStr">
        <is>
          <t>Python fast API</t>
        </is>
      </c>
      <c r="C5" s="4" t="n"/>
      <c r="D5" s="4" t="n"/>
      <c r="E5" s="4" t="n"/>
      <c r="F5" s="4">
        <f>IF(D5="", "", (IF(D5="Low",1,IF(D5="Medium",2,IF(D5="High",3,0)))) * (IF(E5="Low",1,IF(E5="Medium",2,IF(E5="High",3,0)))))</f>
        <v/>
      </c>
      <c r="G5" s="4" t="n"/>
      <c r="H5" s="4" t="n"/>
      <c r="I5" s="5" t="n"/>
      <c r="J5" s="4" t="n"/>
    </row>
    <row r="6">
      <c r="A6" s="4" t="n"/>
      <c r="B6" s="4" t="inlineStr">
        <is>
          <t xml:space="preserve">Gemini 2.5 Flash /dummy data </t>
        </is>
      </c>
      <c r="C6" s="4" t="n"/>
      <c r="D6" s="4" t="n"/>
      <c r="E6" s="4" t="n"/>
      <c r="F6" s="4">
        <f>IF(D6="", "", (IF(D6="Low",1,IF(D6="Medium",2,IF(D6="High",3,0)))) * (IF(E6="Low",1,IF(E6="Medium",2,IF(E6="High",3,0)))))</f>
        <v/>
      </c>
      <c r="G6" s="4" t="n"/>
      <c r="H6" s="4" t="n"/>
      <c r="I6" s="5" t="n"/>
      <c r="J6" s="4" t="n"/>
    </row>
    <row r="7">
      <c r="A7" s="4" t="n"/>
      <c r="B7" s="4" t="inlineStr">
        <is>
          <t>Azure Data Foundry - Production/POC</t>
        </is>
      </c>
      <c r="C7" s="4" t="n"/>
      <c r="D7" s="4" t="n"/>
      <c r="E7" s="4" t="n"/>
      <c r="F7" s="4">
        <f>IF(D7="", "", (IF(D7="Low",1,IF(D7="Medium",2,IF(D7="High",3,0)))) * (IF(E7="Low",1,IF(E7="Medium",2,IF(E7="High",3,0)))))</f>
        <v/>
      </c>
      <c r="G7" s="4" t="n"/>
      <c r="H7" s="4" t="n"/>
      <c r="I7" s="5" t="n"/>
      <c r="J7" s="4" t="n"/>
    </row>
    <row r="8">
      <c r="A8" s="4" t="n"/>
      <c r="B8" s="4" t="inlineStr">
        <is>
          <t>Multi-LLMS/Multi-Agents ?</t>
        </is>
      </c>
      <c r="C8" s="4" t="n"/>
      <c r="D8" s="4" t="n"/>
      <c r="E8" s="4" t="n"/>
      <c r="F8" s="4">
        <f>IF(D8="", "", (IF(D8="Low",1,IF(D8="Medium",2,IF(D8="High",3,0)))) * (IF(E8="Low",1,IF(E8="Medium",2,IF(E8="High",3,0)))))</f>
        <v/>
      </c>
      <c r="G8" s="4" t="n"/>
      <c r="H8" s="4" t="n"/>
      <c r="I8" s="5" t="n"/>
      <c r="J8" s="4" t="n"/>
    </row>
    <row r="9">
      <c r="A9" s="4" t="n"/>
      <c r="B9" s="4" t="n"/>
      <c r="C9" s="4" t="n"/>
      <c r="D9" s="4" t="n"/>
      <c r="E9" s="4" t="n"/>
      <c r="F9" s="4">
        <f>IF(D9="", "", (IF(D9="Low",1,IF(D9="Medium",2,IF(D9="High",3,0)))) * (IF(E9="Low",1,IF(E9="Medium",2,IF(E9="High",3,0)))))</f>
        <v/>
      </c>
      <c r="G9" s="4" t="n"/>
      <c r="H9" s="4" t="n"/>
      <c r="I9" s="5" t="n"/>
      <c r="J9" s="4" t="n"/>
    </row>
    <row r="10">
      <c r="A10" s="4" t="n"/>
      <c r="B10" s="4" t="n"/>
      <c r="C10" s="4" t="n"/>
      <c r="D10" s="4" t="n"/>
      <c r="E10" s="4" t="n"/>
      <c r="F10" s="4">
        <f>IF(D10="", "", (IF(D10="Low",1,IF(D10="Medium",2,IF(D10="High",3,0)))) * (IF(E10="Low",1,IF(E10="Medium",2,IF(E10="High",3,0)))))</f>
        <v/>
      </c>
      <c r="G10" s="4" t="n"/>
      <c r="H10" s="4" t="n"/>
      <c r="I10" s="5" t="n"/>
      <c r="J10" s="4" t="n"/>
    </row>
    <row r="11" ht="15" customHeight="1">
      <c r="A11" s="16" t="inlineStr">
        <is>
          <t>Notes</t>
        </is>
      </c>
      <c r="B11" s="4" t="n"/>
      <c r="C11" s="4" t="n"/>
      <c r="D11" s="4" t="n"/>
      <c r="E11" s="4" t="n"/>
      <c r="F11" s="4">
        <f>IF(D11="", "", (IF(D11="Low",1,IF(D11="Medium",2,IF(D11="High",3,0)))) * (IF(E11="Low",1,IF(E11="Medium",2,IF(E11="High",3,0)))))</f>
        <v/>
      </c>
      <c r="G11" s="4" t="n"/>
      <c r="H11" s="4" t="n"/>
      <c r="I11" s="5" t="n"/>
      <c r="J11" s="4" t="n"/>
    </row>
    <row r="12">
      <c r="A12" s="4" t="n"/>
      <c r="B12" s="17" t="inlineStr">
        <is>
          <t>Azure Access</t>
        </is>
      </c>
      <c r="C12" s="4" t="n"/>
      <c r="D12" s="4" t="n"/>
      <c r="E12" s="4" t="n"/>
      <c r="F12" s="4">
        <f>IF(D12="", "", (IF(D12="Low",1,IF(D12="Medium",2,IF(D12="High",3,0)))) * (IF(E12="Low",1,IF(E12="Medium",2,IF(E12="High",3,0)))))</f>
        <v/>
      </c>
      <c r="G12" s="4" t="n"/>
      <c r="H12" s="4" t="n"/>
      <c r="I12" s="5" t="n"/>
      <c r="J12" s="4" t="n"/>
    </row>
    <row r="13">
      <c r="A13" s="4" t="n"/>
      <c r="B13" s="17" t="inlineStr">
        <is>
          <t>Azure PostgreSQL DB</t>
        </is>
      </c>
      <c r="C13" s="4" t="inlineStr">
        <is>
          <t>Risk</t>
        </is>
      </c>
      <c r="D13" s="4" t="n"/>
      <c r="E13" s="4" t="n"/>
      <c r="F13" s="4">
        <f>IF(D13="", "", (IF(D13="Low",1,IF(D13="Medium",2,IF(D13="High",3,0)))) * (IF(E13="Low",1,IF(E13="Medium",2,IF(E13="High",3,0)))))</f>
        <v/>
      </c>
      <c r="G13" s="4" t="n"/>
      <c r="H13" s="4" t="n"/>
      <c r="I13" s="5" t="n"/>
      <c r="J13" s="4" t="n"/>
    </row>
    <row r="14">
      <c r="A14" s="4" t="n"/>
      <c r="B14" s="17" t="inlineStr">
        <is>
          <t>Azure Blob Storage</t>
        </is>
      </c>
      <c r="C14" s="4" t="inlineStr">
        <is>
          <t>Risk</t>
        </is>
      </c>
      <c r="D14" s="4" t="n"/>
      <c r="E14" s="4" t="n"/>
      <c r="F14" s="4">
        <f>IF(D14="", "", (IF(D14="Low",1,IF(D14="Medium",2,IF(D14="High",3,0)))) * (IF(E14="Low",1,IF(E14="Medium",2,IF(E14="High",3,0)))))</f>
        <v/>
      </c>
      <c r="G14" s="4" t="n"/>
      <c r="H14" s="4" t="n"/>
      <c r="I14" s="5" t="n"/>
      <c r="J14" s="4" t="n"/>
    </row>
    <row r="15">
      <c r="A15" s="4" t="n"/>
      <c r="B15" s="17" t="inlineStr">
        <is>
          <t>Azure Key Vault</t>
        </is>
      </c>
      <c r="C15" s="4" t="inlineStr">
        <is>
          <t>Risk</t>
        </is>
      </c>
      <c r="D15" s="4" t="n"/>
      <c r="E15" s="4" t="n"/>
      <c r="F15" s="4">
        <f>IF(D15="", "", (IF(D15="Low",1,IF(D15="Medium",2,IF(D15="High",3,0)))) * (IF(E15="Low",1,IF(E15="Medium",2,IF(E15="High",3,0)))))</f>
        <v/>
      </c>
      <c r="G15" s="4" t="n"/>
      <c r="H15" s="4" t="n"/>
      <c r="I15" s="5" t="n"/>
      <c r="J15" s="4" t="n"/>
    </row>
    <row r="16">
      <c r="A16" s="4" t="n"/>
      <c r="B16" s="17" t="inlineStr">
        <is>
          <t>Azure App Services</t>
        </is>
      </c>
      <c r="C16" s="4" t="inlineStr">
        <is>
          <t>Risk</t>
        </is>
      </c>
      <c r="D16" s="4" t="n"/>
      <c r="E16" s="4" t="n"/>
      <c r="F16" s="4">
        <f>IF(D16="", "", (IF(D16="Low",1,IF(D16="Medium",2,IF(D16="High",3,0)))) * (IF(E16="Low",1,IF(E16="Medium",2,IF(E16="High",3,0)))))</f>
        <v/>
      </c>
      <c r="G16" s="4" t="n"/>
      <c r="H16" s="4" t="n"/>
      <c r="I16" s="5" t="n"/>
      <c r="J16" s="4" t="n"/>
    </row>
    <row r="17">
      <c r="A17" s="4" t="n"/>
      <c r="B17" s="17" t="inlineStr">
        <is>
          <t>Azure Monitor</t>
        </is>
      </c>
      <c r="C17" s="4" t="inlineStr">
        <is>
          <t>Risk</t>
        </is>
      </c>
      <c r="D17" s="4" t="n"/>
      <c r="E17" s="4" t="n"/>
      <c r="F17" s="4" t="n"/>
      <c r="G17" s="4" t="n"/>
      <c r="H17" s="4" t="n"/>
      <c r="I17" s="5" t="n"/>
      <c r="J17" s="4" t="n"/>
    </row>
    <row r="18">
      <c r="A18" s="4" t="n"/>
      <c r="B18" s="17" t="inlineStr">
        <is>
          <t>Azure Logic Apps</t>
        </is>
      </c>
      <c r="C18" s="4" t="inlineStr">
        <is>
          <t>Risk</t>
        </is>
      </c>
      <c r="D18" s="4" t="n"/>
      <c r="E18" s="4" t="n"/>
      <c r="F18" s="4">
        <f>IF(D18="", "", (IF(D18="Low",1,IF(D18="Medium",2,IF(D18="High",3,0)))) * (IF(E18="Low",1,IF(E18="Medium",2,IF(E18="High",3,0)))))</f>
        <v/>
      </c>
      <c r="G18" s="4" t="n"/>
      <c r="H18" s="4" t="n"/>
      <c r="I18" s="5" t="n"/>
      <c r="J18" s="4" t="n"/>
    </row>
    <row r="19">
      <c r="A19" s="4" t="n"/>
      <c r="B19" s="17" t="inlineStr">
        <is>
          <t>Application Insights</t>
        </is>
      </c>
      <c r="C19" s="4" t="n"/>
      <c r="D19" s="4" t="n"/>
      <c r="E19" s="4" t="n"/>
      <c r="F19" s="4">
        <f>IF(D19="", "", (IF(D19="Low",1,IF(D19="Medium",2,IF(D19="High",3,0)))) * (IF(E19="Low",1,IF(E19="Medium",2,IF(E19="High",3,0)))))</f>
        <v/>
      </c>
      <c r="G19" s="4" t="n"/>
      <c r="H19" s="4" t="n"/>
      <c r="I19" s="5" t="n"/>
      <c r="J19" s="4" t="n"/>
    </row>
    <row r="20">
      <c r="A20" s="4" t="inlineStr">
        <is>
          <t>Open -AI and Orchestration</t>
        </is>
      </c>
      <c r="B20" s="17" t="inlineStr">
        <is>
          <t>Azure Foundry</t>
        </is>
      </c>
      <c r="C20" s="4" t="n"/>
      <c r="D20" s="4" t="n"/>
      <c r="E20" s="4" t="n"/>
      <c r="F20" s="4">
        <f>IF(D20="", "", (IF(D20="Low",1,IF(D20="Medium",2,IF(D20="High",3,0)))) * (IF(E20="Low",1,IF(E20="Medium",2,IF(E20="High",3,0)))))</f>
        <v/>
      </c>
      <c r="G20" s="4" t="n"/>
      <c r="H20" s="4" t="n"/>
      <c r="I20" s="5" t="n"/>
      <c r="J20" s="4" t="n"/>
    </row>
    <row r="21">
      <c r="A21" s="4" t="inlineStr">
        <is>
          <t>RAG</t>
        </is>
      </c>
      <c r="B21" s="17" t="inlineStr">
        <is>
          <t>Azure-AI Search</t>
        </is>
      </c>
      <c r="C21" s="4" t="n"/>
      <c r="D21" s="4" t="n"/>
      <c r="E21" s="4" t="n"/>
      <c r="F21" s="4">
        <f>IF(D21="", "", (IF(D21="Low",1,IF(D21="Medium",2,IF(D21="High",3,0)))) * (IF(E21="Low",1,IF(E21="Medium",2,IF(E21="High",3,0)))))</f>
        <v/>
      </c>
      <c r="G21" s="4" t="n"/>
      <c r="H21" s="4" t="n"/>
      <c r="I21" s="5" t="n"/>
      <c r="J21" s="4" t="n"/>
    </row>
    <row r="22">
      <c r="A22" s="4" t="n"/>
      <c r="B22" s="17" t="inlineStr">
        <is>
          <t>RADIS Cache</t>
        </is>
      </c>
      <c r="C22" s="4" t="n"/>
      <c r="D22" s="4" t="n"/>
      <c r="E22" s="4" t="n"/>
      <c r="F22" s="4" t="n"/>
      <c r="G22" s="4" t="n"/>
      <c r="H22" s="4" t="n"/>
      <c r="I22" s="5" t="n"/>
      <c r="J22" s="4" t="n"/>
    </row>
    <row r="23">
      <c r="A23" s="4" t="inlineStr">
        <is>
          <t>User Management</t>
        </is>
      </c>
      <c r="B23" s="17" t="inlineStr">
        <is>
          <t>Entra ID / Hexaware SSO/Client SSO</t>
        </is>
      </c>
      <c r="C23" s="4" t="n"/>
      <c r="D23" s="4" t="n"/>
      <c r="E23" s="4" t="n"/>
      <c r="F23" s="4" t="n"/>
      <c r="G23" s="4" t="n"/>
      <c r="H23" s="4" t="n"/>
      <c r="I23" s="5" t="n"/>
      <c r="J23" s="4" t="n"/>
    </row>
    <row r="24">
      <c r="A24" s="4" t="n"/>
      <c r="B24" s="17" t="inlineStr">
        <is>
          <t>API Subnet</t>
        </is>
      </c>
      <c r="C24" s="4" t="n"/>
      <c r="D24" s="4" t="n"/>
      <c r="E24" s="4" t="n"/>
      <c r="F24" s="4" t="n"/>
      <c r="G24" s="4" t="n"/>
      <c r="H24" s="4" t="n"/>
      <c r="I24" s="5" t="n"/>
      <c r="J24" s="4" t="n"/>
    </row>
    <row r="25">
      <c r="A25" s="4" t="inlineStr">
        <is>
          <t>Agent Orchestration</t>
        </is>
      </c>
      <c r="B25" s="17" t="inlineStr">
        <is>
          <t>Symeantic Kernel</t>
        </is>
      </c>
      <c r="C25" s="4" t="n"/>
      <c r="D25" s="4" t="n"/>
      <c r="E25" s="4" t="n"/>
      <c r="F25" s="4" t="n"/>
      <c r="G25" s="4" t="n"/>
      <c r="H25" s="4" t="n"/>
      <c r="I25" s="5" t="n"/>
      <c r="J25" s="4" t="n"/>
    </row>
    <row r="26">
      <c r="A26" s="4" t="n"/>
      <c r="B26" s="4" t="inlineStr">
        <is>
          <t>Azure documents</t>
        </is>
      </c>
      <c r="C26" s="4" t="n"/>
      <c r="D26" s="4" t="n"/>
      <c r="E26" s="4" t="n"/>
      <c r="F26" s="4" t="n"/>
      <c r="G26" s="4" t="n"/>
      <c r="H26" s="4" t="n"/>
      <c r="I26" s="5" t="n"/>
      <c r="J26" s="4" t="n"/>
    </row>
    <row r="27">
      <c r="A27" s="4" t="n"/>
      <c r="B27" s="4" t="n"/>
      <c r="C27" s="4" t="n"/>
      <c r="D27" s="4" t="n"/>
      <c r="E27" s="4" t="n"/>
      <c r="F27" s="4">
        <f>IF(D27="", "", (IF(D27="Low",1,IF(D27="Medium",2,IF(D27="High",3,0)))) * (IF(E27="Low",1,IF(E27="Medium",2,IF(E27="High",3,0)))))</f>
        <v/>
      </c>
      <c r="G27" s="4" t="n"/>
      <c r="H27" s="4" t="n"/>
      <c r="I27" s="5" t="n"/>
      <c r="J27" s="4" t="n"/>
    </row>
    <row r="28">
      <c r="A28" s="4" t="n"/>
      <c r="B28" s="4" t="n"/>
      <c r="C28" s="4" t="n"/>
      <c r="D28" s="4" t="n"/>
      <c r="E28" s="4" t="n"/>
      <c r="F28" s="4" t="n"/>
      <c r="G28" s="4" t="n"/>
      <c r="H28" s="4" t="n"/>
      <c r="I28" s="5" t="n"/>
      <c r="J28" s="4" t="n"/>
    </row>
    <row r="29">
      <c r="A29" s="4" t="inlineStr">
        <is>
          <t>Front END</t>
        </is>
      </c>
      <c r="B29" s="4" t="inlineStr">
        <is>
          <t>React</t>
        </is>
      </c>
      <c r="C29" s="4" t="n"/>
      <c r="D29" s="4" t="n"/>
      <c r="E29" s="4" t="n"/>
      <c r="F29" s="4">
        <f>IF(D29="", "", (IF(D29="Low",1,IF(D29="Medium",2,IF(D29="High",3,0)))) * (IF(E29="Low",1,IF(E29="Medium",2,IF(E29="High",3,0)))))</f>
        <v/>
      </c>
      <c r="G29" s="4" t="n"/>
      <c r="H29" s="4" t="n"/>
      <c r="I29" s="5" t="n"/>
      <c r="J29" s="4" t="n"/>
    </row>
    <row r="30">
      <c r="A30" s="4" t="inlineStr">
        <is>
          <t>AI</t>
        </is>
      </c>
      <c r="B30" s="4" t="inlineStr">
        <is>
          <t>FAST API</t>
        </is>
      </c>
      <c r="C30" s="4" t="n"/>
      <c r="D30" s="4" t="n"/>
      <c r="E30" s="4" t="n"/>
      <c r="F30" s="4">
        <f>IF(D30="", "", (IF(D30="Low",1,IF(D30="Medium",2,IF(D30="High",3,0)))) * (IF(E30="Low",1,IF(E30="Medium",2,IF(E30="High",3,0)))))</f>
        <v/>
      </c>
      <c r="G30" s="4" t="n"/>
      <c r="H30" s="4" t="n"/>
      <c r="I30" s="5" t="n"/>
      <c r="J30" s="4" t="n"/>
    </row>
    <row r="31">
      <c r="A31" s="4" t="inlineStr">
        <is>
          <t>Database</t>
        </is>
      </c>
      <c r="B31" s="4" t="inlineStr">
        <is>
          <t>Postgress</t>
        </is>
      </c>
      <c r="C31" s="4" t="n"/>
      <c r="D31" s="4" t="n"/>
      <c r="E31" s="4" t="n"/>
      <c r="F31" s="4">
        <f>IF(D31="", "", (IF(D31="Low",1,IF(D31="Medium",2,IF(D31="High",3,0)))) * (IF(E31="Low",1,IF(E31="Medium",2,IF(E31="High",3,0)))))</f>
        <v/>
      </c>
      <c r="G31" s="4" t="n"/>
      <c r="H31" s="4" t="n"/>
      <c r="I31" s="5" t="n"/>
      <c r="J31" s="4" t="n"/>
    </row>
    <row r="32">
      <c r="A32" s="4" t="n"/>
      <c r="B32" s="4" t="n"/>
      <c r="C32" s="4" t="n"/>
      <c r="D32" s="4" t="n"/>
      <c r="E32" s="4" t="n"/>
      <c r="F32" s="4">
        <f>IF(D32="", "", (IF(D32="Low",1,IF(D32="Medium",2,IF(D32="High",3,0)))) * (IF(E32="Low",1,IF(E32="Medium",2,IF(E32="High",3,0)))))</f>
        <v/>
      </c>
      <c r="G32" s="4" t="n"/>
      <c r="H32" s="4" t="n"/>
      <c r="I32" s="5" t="n"/>
      <c r="J32" s="4" t="n"/>
    </row>
    <row r="33">
      <c r="A33" s="4" t="n"/>
      <c r="B33" s="4" t="n"/>
      <c r="C33" s="4" t="n"/>
      <c r="D33" s="4" t="n"/>
      <c r="E33" s="4" t="n"/>
      <c r="F33" s="4">
        <f>IF(D33="", "", (IF(D33="Low",1,IF(D33="Medium",2,IF(D33="High",3,0)))) * (IF(E33="Low",1,IF(E33="Medium",2,IF(E33="High",3,0)))))</f>
        <v/>
      </c>
      <c r="G33" s="4" t="n"/>
      <c r="H33" s="4" t="n"/>
      <c r="I33" s="5" t="n"/>
      <c r="J33" s="4" t="n"/>
    </row>
    <row r="34">
      <c r="A34" s="4" t="n"/>
      <c r="B34" s="4" t="n"/>
      <c r="C34" s="4" t="n"/>
      <c r="D34" s="4" t="n"/>
      <c r="E34" s="4" t="n"/>
      <c r="F34" s="4">
        <f>IF(D34="", "", (IF(D34="Low",1,IF(D34="Medium",2,IF(D34="High",3,0)))) * (IF(E34="Low",1,IF(E34="Medium",2,IF(E34="High",3,0)))))</f>
        <v/>
      </c>
      <c r="G34" s="4" t="n"/>
      <c r="H34" s="4" t="n"/>
      <c r="I34" s="5" t="n"/>
      <c r="J34" s="4" t="n"/>
    </row>
    <row r="35">
      <c r="A35" s="4" t="n"/>
      <c r="B35" s="4" t="n"/>
      <c r="C35" s="4" t="n"/>
      <c r="D35" s="4" t="n"/>
      <c r="E35" s="4" t="n"/>
      <c r="F35" s="4">
        <f>IF(D35="", "", (IF(D35="Low",1,IF(D35="Medium",2,IF(D35="High",3,0)))) * (IF(E35="Low",1,IF(E35="Medium",2,IF(E35="High",3,0)))))</f>
        <v/>
      </c>
      <c r="G35" s="4" t="n"/>
      <c r="H35" s="4" t="n"/>
      <c r="I35" s="5" t="n"/>
      <c r="J35" s="4" t="n"/>
    </row>
    <row r="36">
      <c r="A36" s="4" t="n"/>
      <c r="B36" s="4" t="n"/>
      <c r="C36" s="4" t="n"/>
      <c r="D36" s="4" t="n"/>
      <c r="E36" s="4" t="n"/>
      <c r="F36" s="4">
        <f>IF(D36="", "", (IF(D36="Low",1,IF(D36="Medium",2,IF(D36="High",3,0)))) * (IF(E36="Low",1,IF(E36="Medium",2,IF(E36="High",3,0)))))</f>
        <v/>
      </c>
      <c r="G36" s="4" t="n"/>
      <c r="H36" s="4" t="n"/>
      <c r="I36" s="5" t="n"/>
      <c r="J36" s="4" t="n"/>
    </row>
    <row r="37">
      <c r="A37" s="4" t="n"/>
      <c r="B37" s="4" t="n"/>
      <c r="C37" s="4" t="n"/>
      <c r="D37" s="4" t="n"/>
      <c r="E37" s="4" t="n"/>
      <c r="F37" s="4">
        <f>IF(D37="", "", (IF(D37="Low",1,IF(D37="Medium",2,IF(D37="High",3,0)))) * (IF(E37="Low",1,IF(E37="Medium",2,IF(E37="High",3,0)))))</f>
        <v/>
      </c>
      <c r="G37" s="4" t="n"/>
      <c r="H37" s="4" t="n"/>
      <c r="I37" s="5" t="n"/>
      <c r="J37" s="4" t="n"/>
    </row>
    <row r="38">
      <c r="A38" s="4" t="n"/>
      <c r="B38" s="4" t="n"/>
      <c r="C38" s="4" t="n"/>
      <c r="D38" s="4" t="n"/>
      <c r="E38" s="4" t="n"/>
      <c r="F38" s="4">
        <f>IF(D38="", "", (IF(D38="Low",1,IF(D38="Medium",2,IF(D38="High",3,0)))) * (IF(E38="Low",1,IF(E38="Medium",2,IF(E38="High",3,0)))))</f>
        <v/>
      </c>
      <c r="G38" s="4" t="n"/>
      <c r="H38" s="4" t="n"/>
      <c r="I38" s="5" t="n"/>
      <c r="J38" s="4" t="n"/>
    </row>
    <row r="39">
      <c r="A39" s="4" t="n"/>
      <c r="B39" s="4" t="n"/>
      <c r="C39" s="4" t="n"/>
      <c r="D39" s="4" t="n"/>
      <c r="E39" s="4" t="n"/>
      <c r="F39" s="4">
        <f>IF(D39="", "", (IF(D39="Low",1,IF(D39="Medium",2,IF(D39="High",3,0)))) * (IF(E39="Low",1,IF(E39="Medium",2,IF(E39="High",3,0)))))</f>
        <v/>
      </c>
      <c r="G39" s="4" t="n"/>
      <c r="H39" s="4" t="n"/>
      <c r="I39" s="5" t="n"/>
      <c r="J39" s="4" t="n"/>
    </row>
    <row r="40">
      <c r="A40" s="4" t="n"/>
      <c r="B40" s="4" t="n"/>
      <c r="C40" s="4" t="n"/>
      <c r="D40" s="4" t="n"/>
      <c r="E40" s="4" t="n"/>
      <c r="F40" s="4">
        <f>IF(D40="", "", (IF(D40="Low",1,IF(D40="Medium",2,IF(D40="High",3,0)))) * (IF(E40="Low",1,IF(E40="Medium",2,IF(E40="High",3,0)))))</f>
        <v/>
      </c>
      <c r="G40" s="4" t="n"/>
      <c r="H40" s="4" t="n"/>
      <c r="I40" s="5" t="n"/>
      <c r="J40" s="4" t="n"/>
    </row>
    <row r="41">
      <c r="A41" s="4" t="n"/>
      <c r="B41" s="4" t="n"/>
      <c r="C41" s="4" t="n"/>
      <c r="D41" s="4" t="n"/>
      <c r="E41" s="4" t="n"/>
      <c r="F41" s="4">
        <f>IF(D41="", "", (IF(D41="Low",1,IF(D41="Medium",2,IF(D41="High",3,0)))) * (IF(E41="Low",1,IF(E41="Medium",2,IF(E41="High",3,0)))))</f>
        <v/>
      </c>
      <c r="G41" s="4" t="n"/>
      <c r="H41" s="4" t="n"/>
      <c r="I41" s="5" t="n"/>
      <c r="J41" s="4" t="n"/>
    </row>
    <row r="42">
      <c r="A42" s="4" t="n"/>
      <c r="B42" s="4" t="n"/>
      <c r="C42" s="4" t="n"/>
      <c r="D42" s="4" t="n"/>
      <c r="E42" s="4" t="n"/>
      <c r="F42" s="4">
        <f>IF(D42="", "", (IF(D42="Low",1,IF(D42="Medium",2,IF(D42="High",3,0)))) * (IF(E42="Low",1,IF(E42="Medium",2,IF(E42="High",3,0)))))</f>
        <v/>
      </c>
      <c r="G42" s="4" t="n"/>
      <c r="H42" s="4" t="n"/>
      <c r="I42" s="5" t="n"/>
      <c r="J42" s="4" t="n"/>
    </row>
    <row r="43">
      <c r="A43" s="4" t="n"/>
      <c r="B43" s="4" t="n"/>
      <c r="C43" s="4" t="n"/>
      <c r="D43" s="4" t="n"/>
      <c r="E43" s="4" t="n"/>
      <c r="F43" s="4">
        <f>IF(D43="", "", (IF(D43="Low",1,IF(D43="Medium",2,IF(D43="High",3,0)))) * (IF(E43="Low",1,IF(E43="Medium",2,IF(E43="High",3,0)))))</f>
        <v/>
      </c>
      <c r="G43" s="4" t="n"/>
      <c r="H43" s="4" t="n"/>
      <c r="I43" s="5" t="n"/>
      <c r="J43" s="4" t="n"/>
    </row>
    <row r="44">
      <c r="A44" s="4" t="n"/>
      <c r="B44" s="4" t="n"/>
      <c r="C44" s="4" t="n"/>
      <c r="D44" s="4" t="n"/>
      <c r="E44" s="4" t="n"/>
      <c r="F44" s="4">
        <f>IF(D44="", "", (IF(D44="Low",1,IF(D44="Medium",2,IF(D44="High",3,0)))) * (IF(E44="Low",1,IF(E44="Medium",2,IF(E44="High",3,0)))))</f>
        <v/>
      </c>
      <c r="G44" s="4" t="n"/>
      <c r="H44" s="4" t="n"/>
      <c r="I44" s="5" t="n"/>
      <c r="J44" s="4" t="n"/>
    </row>
    <row r="45">
      <c r="A45" s="4" t="n"/>
      <c r="B45" s="4" t="n"/>
      <c r="C45" s="4" t="n"/>
      <c r="D45" s="4" t="n"/>
      <c r="E45" s="4" t="n"/>
      <c r="F45" s="4">
        <f>IF(D45="", "", (IF(D45="Low",1,IF(D45="Medium",2,IF(D45="High",3,0)))) * (IF(E45="Low",1,IF(E45="Medium",2,IF(E45="High",3,0)))))</f>
        <v/>
      </c>
      <c r="G45" s="4" t="n"/>
      <c r="H45" s="4" t="n"/>
      <c r="I45" s="5" t="n"/>
      <c r="J45" s="4" t="n"/>
    </row>
    <row r="46">
      <c r="A46" s="4" t="n"/>
      <c r="B46" s="4" t="n"/>
      <c r="C46" s="4" t="n"/>
      <c r="D46" s="4" t="n"/>
      <c r="E46" s="4" t="n"/>
      <c r="F46" s="4">
        <f>IF(D46="", "", (IF(D46="Low",1,IF(D46="Medium",2,IF(D46="High",3,0)))) * (IF(E46="Low",1,IF(E46="Medium",2,IF(E46="High",3,0)))))</f>
        <v/>
      </c>
      <c r="G46" s="4" t="n"/>
      <c r="H46" s="4" t="n"/>
      <c r="I46" s="5" t="n"/>
      <c r="J46" s="4" t="n"/>
    </row>
    <row r="47">
      <c r="A47" s="4" t="n"/>
      <c r="B47" s="4" t="n"/>
      <c r="C47" s="4" t="n"/>
      <c r="D47" s="4" t="n"/>
      <c r="E47" s="4" t="n"/>
      <c r="F47" s="4">
        <f>IF(D47="", "", (IF(D47="Low",1,IF(D47="Medium",2,IF(D47="High",3,0)))) * (IF(E47="Low",1,IF(E47="Medium",2,IF(E47="High",3,0)))))</f>
        <v/>
      </c>
      <c r="G47" s="4" t="n"/>
      <c r="H47" s="4" t="n"/>
      <c r="I47" s="5" t="n"/>
      <c r="J47" s="4" t="n"/>
    </row>
    <row r="48">
      <c r="A48" s="4" t="n"/>
      <c r="B48" s="4" t="n"/>
      <c r="C48" s="4" t="n"/>
      <c r="D48" s="4" t="n"/>
      <c r="E48" s="4" t="n"/>
      <c r="F48" s="4">
        <f>IF(D48="", "", (IF(D48="Low",1,IF(D48="Medium",2,IF(D48="High",3,0)))) * (IF(E48="Low",1,IF(E48="Medium",2,IF(E48="High",3,0)))))</f>
        <v/>
      </c>
      <c r="G48" s="4" t="n"/>
      <c r="H48" s="4" t="n"/>
      <c r="I48" s="5" t="n"/>
      <c r="J48" s="4" t="n"/>
    </row>
    <row r="49">
      <c r="A49" s="4" t="n"/>
      <c r="B49" s="4" t="n"/>
      <c r="C49" s="4" t="n"/>
      <c r="D49" s="4" t="n"/>
      <c r="E49" s="4" t="n"/>
      <c r="F49" s="4">
        <f>IF(D49="", "", (IF(D49="Low",1,IF(D49="Medium",2,IF(D49="High",3,0)))) * (IF(E49="Low",1,IF(E49="Medium",2,IF(E49="High",3,0)))))</f>
        <v/>
      </c>
      <c r="G49" s="4" t="n"/>
      <c r="H49" s="4" t="n"/>
      <c r="I49" s="5" t="n"/>
      <c r="J49" s="4" t="n"/>
    </row>
    <row r="50">
      <c r="A50" s="4" t="n"/>
      <c r="B50" s="4" t="n"/>
      <c r="C50" s="4" t="n"/>
      <c r="D50" s="4" t="n"/>
      <c r="E50" s="4" t="n"/>
      <c r="F50" s="4">
        <f>IF(D50="", "", (IF(D50="Low",1,IF(D50="Medium",2,IF(D50="High",3,0)))) * (IF(E50="Low",1,IF(E50="Medium",2,IF(E50="High",3,0)))))</f>
        <v/>
      </c>
      <c r="G50" s="4" t="n"/>
      <c r="H50" s="4" t="n"/>
      <c r="I50" s="5" t="n"/>
      <c r="J50" s="4" t="n"/>
    </row>
    <row r="51">
      <c r="A51" s="4" t="n"/>
      <c r="B51" s="4" t="n"/>
      <c r="C51" s="4" t="n"/>
      <c r="D51" s="4" t="n"/>
      <c r="E51" s="4" t="n"/>
      <c r="F51" s="4">
        <f>IF(D51="", "", (IF(D51="Low",1,IF(D51="Medium",2,IF(D51="High",3,0)))) * (IF(E51="Low",1,IF(E51="Medium",2,IF(E51="High",3,0)))))</f>
        <v/>
      </c>
      <c r="G51" s="4" t="n"/>
      <c r="H51" s="4" t="n"/>
      <c r="I51" s="5" t="n"/>
      <c r="J51" s="4" t="n"/>
    </row>
    <row r="52">
      <c r="A52" s="4" t="n"/>
      <c r="B52" s="4" t="n"/>
      <c r="C52" s="4" t="n"/>
      <c r="D52" s="4" t="n"/>
      <c r="E52" s="4" t="n"/>
      <c r="F52" s="4">
        <f>IF(D52="", "", (IF(D52="Low",1,IF(D52="Medium",2,IF(D52="High",3,0)))) * (IF(E52="Low",1,IF(E52="Medium",2,IF(E52="High",3,0)))))</f>
        <v/>
      </c>
      <c r="G52" s="4" t="n"/>
      <c r="H52" s="4" t="n"/>
      <c r="I52" s="5" t="n"/>
      <c r="J52" s="4" t="n"/>
    </row>
    <row r="53">
      <c r="A53" s="4" t="n"/>
      <c r="B53" s="4" t="n"/>
      <c r="C53" s="4" t="n"/>
      <c r="D53" s="4" t="n"/>
      <c r="E53" s="4" t="n"/>
      <c r="F53" s="4">
        <f>IF(D53="", "", (IF(D53="Low",1,IF(D53="Medium",2,IF(D53="High",3,0)))) * (IF(E53="Low",1,IF(E53="Medium",2,IF(E53="High",3,0)))))</f>
        <v/>
      </c>
      <c r="G53" s="4" t="n"/>
      <c r="H53" s="4" t="n"/>
      <c r="I53" s="5" t="n"/>
      <c r="J53" s="4" t="n"/>
    </row>
    <row r="54">
      <c r="A54" s="4" t="n"/>
      <c r="B54" s="4" t="n"/>
      <c r="C54" s="4" t="n"/>
      <c r="D54" s="4" t="n"/>
      <c r="E54" s="4" t="n"/>
      <c r="F54" s="4">
        <f>IF(D54="", "", (IF(D54="Low",1,IF(D54="Medium",2,IF(D54="High",3,0)))) * (IF(E54="Low",1,IF(E54="Medium",2,IF(E54="High",3,0)))))</f>
        <v/>
      </c>
      <c r="G54" s="4" t="n"/>
      <c r="H54" s="4" t="n"/>
      <c r="I54" s="5" t="n"/>
      <c r="J54" s="4" t="n"/>
    </row>
    <row r="55">
      <c r="A55" s="4" t="n"/>
      <c r="B55" s="4" t="n"/>
      <c r="C55" s="4" t="n"/>
      <c r="D55" s="4" t="n"/>
      <c r="E55" s="4" t="n"/>
      <c r="F55" s="4">
        <f>IF(D55="", "", (IF(D55="Low",1,IF(D55="Medium",2,IF(D55="High",3,0)))) * (IF(E55="Low",1,IF(E55="Medium",2,IF(E55="High",3,0)))))</f>
        <v/>
      </c>
      <c r="G55" s="4" t="n"/>
      <c r="H55" s="4" t="n"/>
      <c r="I55" s="5" t="n"/>
      <c r="J55" s="4" t="n"/>
    </row>
    <row r="56">
      <c r="A56" s="4" t="n"/>
      <c r="B56" s="4" t="n"/>
      <c r="C56" s="4" t="n"/>
      <c r="D56" s="4" t="n"/>
      <c r="E56" s="4" t="n"/>
      <c r="F56" s="4">
        <f>IF(D56="", "", (IF(D56="Low",1,IF(D56="Medium",2,IF(D56="High",3,0)))) * (IF(E56="Low",1,IF(E56="Medium",2,IF(E56="High",3,0)))))</f>
        <v/>
      </c>
      <c r="G56" s="4" t="n"/>
      <c r="H56" s="4" t="n"/>
      <c r="I56" s="5" t="n"/>
      <c r="J56" s="4" t="n"/>
    </row>
    <row r="57">
      <c r="A57" s="4" t="n"/>
      <c r="B57" s="4" t="n"/>
      <c r="C57" s="4" t="n"/>
      <c r="D57" s="4" t="n"/>
      <c r="E57" s="4" t="n"/>
      <c r="F57" s="4">
        <f>IF(D57="", "", (IF(D57="Low",1,IF(D57="Medium",2,IF(D57="High",3,0)))) * (IF(E57="Low",1,IF(E57="Medium",2,IF(E57="High",3,0)))))</f>
        <v/>
      </c>
      <c r="G57" s="4" t="n"/>
      <c r="H57" s="4" t="n"/>
      <c r="I57" s="5" t="n"/>
      <c r="J57" s="4" t="n"/>
    </row>
    <row r="58">
      <c r="A58" s="4" t="n"/>
      <c r="B58" s="4" t="n"/>
      <c r="C58" s="4" t="n"/>
      <c r="D58" s="4" t="n"/>
      <c r="E58" s="4" t="n"/>
      <c r="F58" s="4">
        <f>IF(D58="", "", (IF(D58="Low",1,IF(D58="Medium",2,IF(D58="High",3,0)))) * (IF(E58="Low",1,IF(E58="Medium",2,IF(E58="High",3,0)))))</f>
        <v/>
      </c>
      <c r="G58" s="4" t="n"/>
      <c r="H58" s="4" t="n"/>
      <c r="I58" s="5" t="n"/>
      <c r="J58" s="4" t="n"/>
    </row>
    <row r="59">
      <c r="A59" s="4" t="n"/>
      <c r="B59" s="4" t="n"/>
      <c r="C59" s="4" t="n"/>
      <c r="D59" s="4" t="n"/>
      <c r="E59" s="4" t="n"/>
      <c r="F59" s="4">
        <f>IF(D59="", "", (IF(D59="Low",1,IF(D59="Medium",2,IF(D59="High",3,0)))) * (IF(E59="Low",1,IF(E59="Medium",2,IF(E59="High",3,0)))))</f>
        <v/>
      </c>
      <c r="G59" s="4" t="n"/>
      <c r="H59" s="4" t="n"/>
      <c r="I59" s="5" t="n"/>
      <c r="J59" s="4" t="n"/>
    </row>
    <row r="60">
      <c r="A60" s="4" t="n"/>
      <c r="B60" s="4" t="n"/>
      <c r="C60" s="4" t="n"/>
      <c r="D60" s="4" t="n"/>
      <c r="E60" s="4" t="n"/>
      <c r="F60" s="4">
        <f>IF(D60="", "", (IF(D60="Low",1,IF(D60="Medium",2,IF(D60="High",3,0)))) * (IF(E60="Low",1,IF(E60="Medium",2,IF(E60="High",3,0)))))</f>
        <v/>
      </c>
      <c r="G60" s="4" t="n"/>
      <c r="H60" s="4" t="n"/>
      <c r="I60" s="5" t="n"/>
      <c r="J60" s="4" t="n"/>
    </row>
    <row r="61">
      <c r="A61" s="4" t="n"/>
      <c r="B61" s="4" t="n"/>
      <c r="C61" s="4" t="n"/>
      <c r="D61" s="4" t="n"/>
      <c r="E61" s="4" t="n"/>
      <c r="F61" s="4">
        <f>IF(D61="", "", (IF(D61="Low",1,IF(D61="Medium",2,IF(D61="High",3,0)))) * (IF(E61="Low",1,IF(E61="Medium",2,IF(E61="High",3,0)))))</f>
        <v/>
      </c>
      <c r="G61" s="4" t="n"/>
      <c r="H61" s="4" t="n"/>
      <c r="I61" s="5" t="n"/>
      <c r="J61" s="4" t="n"/>
    </row>
    <row r="62">
      <c r="A62" s="4" t="n"/>
      <c r="B62" s="4" t="n"/>
      <c r="C62" s="4" t="n"/>
      <c r="D62" s="4" t="n"/>
      <c r="E62" s="4" t="n"/>
      <c r="F62" s="4">
        <f>IF(D62="", "", (IF(D62="Low",1,IF(D62="Medium",2,IF(D62="High",3,0)))) * (IF(E62="Low",1,IF(E62="Medium",2,IF(E62="High",3,0)))))</f>
        <v/>
      </c>
      <c r="G62" s="4" t="n"/>
      <c r="H62" s="4" t="n"/>
      <c r="I62" s="5" t="n"/>
      <c r="J62" s="4" t="n"/>
    </row>
    <row r="63">
      <c r="A63" s="4" t="n"/>
      <c r="B63" s="4" t="n"/>
      <c r="C63" s="4" t="n"/>
      <c r="D63" s="4" t="n"/>
      <c r="E63" s="4" t="n"/>
      <c r="F63" s="4">
        <f>IF(D63="", "", (IF(D63="Low",1,IF(D63="Medium",2,IF(D63="High",3,0)))) * (IF(E63="Low",1,IF(E63="Medium",2,IF(E63="High",3,0)))))</f>
        <v/>
      </c>
      <c r="G63" s="4" t="n"/>
      <c r="H63" s="4" t="n"/>
      <c r="I63" s="5" t="n"/>
      <c r="J63" s="4" t="n"/>
    </row>
    <row r="64">
      <c r="A64" s="4" t="n"/>
      <c r="B64" s="4" t="n"/>
      <c r="C64" s="4" t="n"/>
      <c r="D64" s="4" t="n"/>
      <c r="E64" s="4" t="n"/>
      <c r="F64" s="4">
        <f>IF(D64="", "", (IF(D64="Low",1,IF(D64="Medium",2,IF(D64="High",3,0)))) * (IF(E64="Low",1,IF(E64="Medium",2,IF(E64="High",3,0)))))</f>
        <v/>
      </c>
      <c r="G64" s="4" t="n"/>
      <c r="H64" s="4" t="n"/>
      <c r="I64" s="5" t="n"/>
      <c r="J64" s="4" t="n"/>
    </row>
    <row r="65">
      <c r="A65" s="4" t="n"/>
      <c r="B65" s="4" t="n"/>
      <c r="C65" s="4" t="n"/>
      <c r="D65" s="4" t="n"/>
      <c r="E65" s="4" t="n"/>
      <c r="F65" s="4">
        <f>IF(D65="", "", (IF(D65="Low",1,IF(D65="Medium",2,IF(D65="High",3,0)))) * (IF(E65="Low",1,IF(E65="Medium",2,IF(E65="High",3,0)))))</f>
        <v/>
      </c>
      <c r="G65" s="4" t="n"/>
      <c r="H65" s="4" t="n"/>
      <c r="I65" s="5" t="n"/>
      <c r="J65" s="4" t="n"/>
    </row>
    <row r="66">
      <c r="A66" s="4" t="n"/>
      <c r="B66" s="4" t="n"/>
      <c r="C66" s="4" t="n"/>
      <c r="D66" s="4" t="n"/>
      <c r="E66" s="4" t="n"/>
      <c r="F66" s="4">
        <f>IF(D66="", "", (IF(D66="Low",1,IF(D66="Medium",2,IF(D66="High",3,0)))) * (IF(E66="Low",1,IF(E66="Medium",2,IF(E66="High",3,0)))))</f>
        <v/>
      </c>
      <c r="G66" s="4" t="n"/>
      <c r="H66" s="4" t="n"/>
      <c r="I66" s="5" t="n"/>
      <c r="J66" s="4" t="n"/>
    </row>
    <row r="67">
      <c r="A67" s="4" t="n"/>
      <c r="B67" s="4" t="n"/>
      <c r="C67" s="4" t="n"/>
      <c r="D67" s="4" t="n"/>
      <c r="E67" s="4" t="n"/>
      <c r="F67" s="4">
        <f>IF(D67="", "", (IF(D67="Low",1,IF(D67="Medium",2,IF(D67="High",3,0)))) * (IF(E67="Low",1,IF(E67="Medium",2,IF(E67="High",3,0)))))</f>
        <v/>
      </c>
      <c r="G67" s="4" t="n"/>
      <c r="H67" s="4" t="n"/>
      <c r="I67" s="5" t="n"/>
      <c r="J67" s="4" t="n"/>
    </row>
    <row r="68">
      <c r="A68" s="4" t="n"/>
      <c r="B68" s="4" t="n"/>
      <c r="C68" s="4" t="n"/>
      <c r="D68" s="4" t="n"/>
      <c r="E68" s="4" t="n"/>
      <c r="F68" s="4">
        <f>IF(D68="", "", (IF(D68="Low",1,IF(D68="Medium",2,IF(D68="High",3,0)))) * (IF(E68="Low",1,IF(E68="Medium",2,IF(E68="High",3,0)))))</f>
        <v/>
      </c>
      <c r="G68" s="4" t="n"/>
      <c r="H68" s="4" t="n"/>
      <c r="I68" s="5" t="n"/>
      <c r="J68" s="4" t="n"/>
    </row>
    <row r="69">
      <c r="A69" s="4" t="n"/>
      <c r="B69" s="4" t="n"/>
      <c r="C69" s="4" t="n"/>
      <c r="D69" s="4" t="n"/>
      <c r="E69" s="4" t="n"/>
      <c r="F69" s="4">
        <f>IF(D69="", "", (IF(D69="Low",1,IF(D69="Medium",2,IF(D69="High",3,0)))) * (IF(E69="Low",1,IF(E69="Medium",2,IF(E69="High",3,0)))))</f>
        <v/>
      </c>
      <c r="G69" s="4" t="n"/>
      <c r="H69" s="4" t="n"/>
      <c r="I69" s="5" t="n"/>
      <c r="J69" s="4" t="n"/>
    </row>
    <row r="70">
      <c r="A70" s="4" t="n"/>
      <c r="B70" s="4" t="n"/>
      <c r="C70" s="4" t="n"/>
      <c r="D70" s="4" t="n"/>
      <c r="E70" s="4" t="n"/>
      <c r="F70" s="4">
        <f>IF(D70="", "", (IF(D70="Low",1,IF(D70="Medium",2,IF(D70="High",3,0)))) * (IF(E70="Low",1,IF(E70="Medium",2,IF(E70="High",3,0)))))</f>
        <v/>
      </c>
      <c r="G70" s="4" t="n"/>
      <c r="H70" s="4" t="n"/>
      <c r="I70" s="5" t="n"/>
      <c r="J70" s="4" t="n"/>
    </row>
    <row r="71">
      <c r="A71" s="4" t="n"/>
      <c r="B71" s="4" t="n"/>
      <c r="C71" s="4" t="n"/>
      <c r="D71" s="4" t="n"/>
      <c r="E71" s="4" t="n"/>
      <c r="F71" s="4">
        <f>IF(D71="", "", (IF(D71="Low",1,IF(D71="Medium",2,IF(D71="High",3,0)))) * (IF(E71="Low",1,IF(E71="Medium",2,IF(E71="High",3,0)))))</f>
        <v/>
      </c>
      <c r="G71" s="4" t="n"/>
      <c r="H71" s="4" t="n"/>
      <c r="I71" s="5" t="n"/>
      <c r="J71" s="4" t="n"/>
    </row>
    <row r="72">
      <c r="A72" s="4" t="n"/>
      <c r="B72" s="4" t="n"/>
      <c r="C72" s="4" t="n"/>
      <c r="D72" s="4" t="n"/>
      <c r="E72" s="4" t="n"/>
      <c r="F72" s="4">
        <f>IF(D72="", "", (IF(D72="Low",1,IF(D72="Medium",2,IF(D72="High",3,0)))) * (IF(E72="Low",1,IF(E72="Medium",2,IF(E72="High",3,0)))))</f>
        <v/>
      </c>
      <c r="G72" s="4" t="n"/>
      <c r="H72" s="4" t="n"/>
      <c r="I72" s="5" t="n"/>
      <c r="J72" s="4" t="n"/>
    </row>
    <row r="73">
      <c r="A73" s="4" t="n"/>
      <c r="B73" s="4" t="n"/>
      <c r="C73" s="4" t="n"/>
      <c r="D73" s="4" t="n"/>
      <c r="E73" s="4" t="n"/>
      <c r="F73" s="4">
        <f>IF(D73="", "", (IF(D73="Low",1,IF(D73="Medium",2,IF(D73="High",3,0)))) * (IF(E73="Low",1,IF(E73="Medium",2,IF(E73="High",3,0)))))</f>
        <v/>
      </c>
      <c r="G73" s="4" t="n"/>
      <c r="H73" s="4" t="n"/>
      <c r="I73" s="5" t="n"/>
      <c r="J73" s="4" t="n"/>
    </row>
    <row r="74">
      <c r="A74" s="4" t="n"/>
      <c r="B74" s="4" t="n"/>
      <c r="C74" s="4" t="n"/>
      <c r="D74" s="4" t="n"/>
      <c r="E74" s="4" t="n"/>
      <c r="F74" s="4">
        <f>IF(D74="", "", (IF(D74="Low",1,IF(D74="Medium",2,IF(D74="High",3,0)))) * (IF(E74="Low",1,IF(E74="Medium",2,IF(E74="High",3,0)))))</f>
        <v/>
      </c>
      <c r="G74" s="4" t="n"/>
      <c r="H74" s="4" t="n"/>
      <c r="I74" s="5" t="n"/>
      <c r="J74" s="4" t="n"/>
    </row>
    <row r="75">
      <c r="A75" s="4" t="n"/>
      <c r="B75" s="4" t="n"/>
      <c r="C75" s="4" t="n"/>
      <c r="D75" s="4" t="n"/>
      <c r="E75" s="4" t="n"/>
      <c r="F75" s="4">
        <f>IF(D75="", "", (IF(D75="Low",1,IF(D75="Medium",2,IF(D75="High",3,0)))) * (IF(E75="Low",1,IF(E75="Medium",2,IF(E75="High",3,0)))))</f>
        <v/>
      </c>
      <c r="G75" s="4" t="n"/>
      <c r="H75" s="4" t="n"/>
      <c r="I75" s="5" t="n"/>
      <c r="J75" s="4" t="n"/>
    </row>
    <row r="76">
      <c r="A76" s="4" t="n"/>
      <c r="B76" s="4" t="n"/>
      <c r="C76" s="4" t="n"/>
      <c r="D76" s="4" t="n"/>
      <c r="E76" s="4" t="n"/>
      <c r="F76" s="4">
        <f>IF(D76="", "", (IF(D76="Low",1,IF(D76="Medium",2,IF(D76="High",3,0)))) * (IF(E76="Low",1,IF(E76="Medium",2,IF(E76="High",3,0)))))</f>
        <v/>
      </c>
      <c r="G76" s="4" t="n"/>
      <c r="H76" s="4" t="n"/>
      <c r="I76" s="5" t="n"/>
      <c r="J76" s="4" t="n"/>
    </row>
    <row r="77">
      <c r="A77" s="4" t="n"/>
      <c r="B77" s="4" t="n"/>
      <c r="C77" s="4" t="n"/>
      <c r="D77" s="4" t="n"/>
      <c r="E77" s="4" t="n"/>
      <c r="F77" s="4">
        <f>IF(D77="", "", (IF(D77="Low",1,IF(D77="Medium",2,IF(D77="High",3,0)))) * (IF(E77="Low",1,IF(E77="Medium",2,IF(E77="High",3,0)))))</f>
        <v/>
      </c>
      <c r="G77" s="4" t="n"/>
      <c r="H77" s="4" t="n"/>
      <c r="I77" s="5" t="n"/>
      <c r="J77" s="4" t="n"/>
    </row>
    <row r="78">
      <c r="A78" s="4" t="n"/>
      <c r="B78" s="4" t="n"/>
      <c r="C78" s="4" t="n"/>
      <c r="D78" s="4" t="n"/>
      <c r="E78" s="4" t="n"/>
      <c r="F78" s="4">
        <f>IF(D78="", "", (IF(D78="Low",1,IF(D78="Medium",2,IF(D78="High",3,0)))) * (IF(E78="Low",1,IF(E78="Medium",2,IF(E78="High",3,0)))))</f>
        <v/>
      </c>
      <c r="G78" s="4" t="n"/>
      <c r="H78" s="4" t="n"/>
      <c r="I78" s="5" t="n"/>
      <c r="J78" s="4" t="n"/>
    </row>
    <row r="79">
      <c r="A79" s="4" t="n"/>
      <c r="B79" s="4" t="n"/>
      <c r="C79" s="4" t="n"/>
      <c r="D79" s="4" t="n"/>
      <c r="E79" s="4" t="n"/>
      <c r="F79" s="4">
        <f>IF(D79="", "", (IF(D79="Low",1,IF(D79="Medium",2,IF(D79="High",3,0)))) * (IF(E79="Low",1,IF(E79="Medium",2,IF(E79="High",3,0)))))</f>
        <v/>
      </c>
      <c r="G79" s="4" t="n"/>
      <c r="H79" s="4" t="n"/>
      <c r="I79" s="5" t="n"/>
      <c r="J79" s="4" t="n"/>
    </row>
    <row r="80">
      <c r="A80" s="4" t="n"/>
      <c r="B80" s="4" t="n"/>
      <c r="C80" s="4" t="n"/>
      <c r="D80" s="4" t="n"/>
      <c r="E80" s="4" t="n"/>
      <c r="F80" s="4">
        <f>IF(D80="", "", (IF(D80="Low",1,IF(D80="Medium",2,IF(D80="High",3,0)))) * (IF(E80="Low",1,IF(E80="Medium",2,IF(E80="High",3,0)))))</f>
        <v/>
      </c>
      <c r="G80" s="4" t="n"/>
      <c r="H80" s="4" t="n"/>
      <c r="I80" s="5" t="n"/>
      <c r="J80" s="4" t="n"/>
    </row>
    <row r="81">
      <c r="A81" s="4" t="n"/>
      <c r="B81" s="4" t="n"/>
      <c r="C81" s="4" t="n"/>
      <c r="D81" s="4" t="n"/>
      <c r="E81" s="4" t="n"/>
      <c r="F81" s="4">
        <f>IF(D81="", "", (IF(D81="Low",1,IF(D81="Medium",2,IF(D81="High",3,0)))) * (IF(E81="Low",1,IF(E81="Medium",2,IF(E81="High",3,0)))))</f>
        <v/>
      </c>
      <c r="G81" s="4" t="n"/>
      <c r="H81" s="4" t="n"/>
      <c r="I81" s="5" t="n"/>
      <c r="J81" s="4" t="n"/>
    </row>
    <row r="82">
      <c r="A82" s="4" t="n"/>
      <c r="B82" s="4" t="n"/>
      <c r="C82" s="4" t="n"/>
      <c r="D82" s="4" t="n"/>
      <c r="E82" s="4" t="n"/>
      <c r="F82" s="4">
        <f>IF(D82="", "", (IF(D82="Low",1,IF(D82="Medium",2,IF(D82="High",3,0)))) * (IF(E82="Low",1,IF(E82="Medium",2,IF(E82="High",3,0)))))</f>
        <v/>
      </c>
      <c r="G82" s="4" t="n"/>
      <c r="H82" s="4" t="n"/>
      <c r="I82" s="5" t="n"/>
      <c r="J82" s="4" t="n"/>
    </row>
    <row r="83">
      <c r="A83" s="4" t="n"/>
      <c r="B83" s="4" t="n"/>
      <c r="C83" s="4" t="n"/>
      <c r="D83" s="4" t="n"/>
      <c r="E83" s="4" t="n"/>
      <c r="F83" s="4">
        <f>IF(D83="", "", (IF(D83="Low",1,IF(D83="Medium",2,IF(D83="High",3,0)))) * (IF(E83="Low",1,IF(E83="Medium",2,IF(E83="High",3,0)))))</f>
        <v/>
      </c>
      <c r="G83" s="4" t="n"/>
      <c r="H83" s="4" t="n"/>
      <c r="I83" s="5" t="n"/>
      <c r="J83" s="4" t="n"/>
    </row>
    <row r="84">
      <c r="A84" s="4" t="n"/>
      <c r="B84" s="4" t="n"/>
      <c r="C84" s="4" t="n"/>
      <c r="D84" s="4" t="n"/>
      <c r="E84" s="4" t="n"/>
      <c r="F84" s="4">
        <f>IF(D84="", "", (IF(D84="Low",1,IF(D84="Medium",2,IF(D84="High",3,0)))) * (IF(E84="Low",1,IF(E84="Medium",2,IF(E84="High",3,0)))))</f>
        <v/>
      </c>
      <c r="G84" s="4" t="n"/>
      <c r="H84" s="4" t="n"/>
      <c r="I84" s="5" t="n"/>
      <c r="J84" s="4" t="n"/>
    </row>
    <row r="85">
      <c r="A85" s="4" t="n"/>
      <c r="B85" s="4" t="n"/>
      <c r="C85" s="4" t="n"/>
      <c r="D85" s="4" t="n"/>
      <c r="E85" s="4" t="n"/>
      <c r="F85" s="4">
        <f>IF(D85="", "", (IF(D85="Low",1,IF(D85="Medium",2,IF(D85="High",3,0)))) * (IF(E85="Low",1,IF(E85="Medium",2,IF(E85="High",3,0)))))</f>
        <v/>
      </c>
      <c r="G85" s="4" t="n"/>
      <c r="H85" s="4" t="n"/>
      <c r="I85" s="5" t="n"/>
      <c r="J85" s="4" t="n"/>
    </row>
    <row r="86">
      <c r="A86" s="4" t="n"/>
      <c r="B86" s="4" t="n"/>
      <c r="C86" s="4" t="n"/>
      <c r="D86" s="4" t="n"/>
      <c r="E86" s="4" t="n"/>
      <c r="F86" s="4">
        <f>IF(D86="", "", (IF(D86="Low",1,IF(D86="Medium",2,IF(D86="High",3,0)))) * (IF(E86="Low",1,IF(E86="Medium",2,IF(E86="High",3,0)))))</f>
        <v/>
      </c>
      <c r="G86" s="4" t="n"/>
      <c r="H86" s="4" t="n"/>
      <c r="I86" s="5" t="n"/>
      <c r="J86" s="4" t="n"/>
    </row>
    <row r="87">
      <c r="A87" s="4" t="n"/>
      <c r="B87" s="4" t="n"/>
      <c r="C87" s="4" t="n"/>
      <c r="D87" s="4" t="n"/>
      <c r="E87" s="4" t="n"/>
      <c r="F87" s="4">
        <f>IF(D87="", "", (IF(D87="Low",1,IF(D87="Medium",2,IF(D87="High",3,0)))) * (IF(E87="Low",1,IF(E87="Medium",2,IF(E87="High",3,0)))))</f>
        <v/>
      </c>
      <c r="G87" s="4" t="n"/>
      <c r="H87" s="4" t="n"/>
      <c r="I87" s="5" t="n"/>
      <c r="J87" s="4" t="n"/>
    </row>
    <row r="88">
      <c r="A88" s="4" t="n"/>
      <c r="B88" s="4" t="n"/>
      <c r="C88" s="4" t="n"/>
      <c r="D88" s="4" t="n"/>
      <c r="E88" s="4" t="n"/>
      <c r="F88" s="4">
        <f>IF(D88="", "", (IF(D88="Low",1,IF(D88="Medium",2,IF(D88="High",3,0)))) * (IF(E88="Low",1,IF(E88="Medium",2,IF(E88="High",3,0)))))</f>
        <v/>
      </c>
      <c r="G88" s="4" t="n"/>
      <c r="H88" s="4" t="n"/>
      <c r="I88" s="5" t="n"/>
      <c r="J88" s="4" t="n"/>
    </row>
    <row r="89">
      <c r="A89" s="4" t="n"/>
      <c r="B89" s="4" t="n"/>
      <c r="C89" s="4" t="n"/>
      <c r="D89" s="4" t="n"/>
      <c r="E89" s="4" t="n"/>
      <c r="F89" s="4">
        <f>IF(D89="", "", (IF(D89="Low",1,IF(D89="Medium",2,IF(D89="High",3,0)))) * (IF(E89="Low",1,IF(E89="Medium",2,IF(E89="High",3,0)))))</f>
        <v/>
      </c>
      <c r="G89" s="4" t="n"/>
      <c r="H89" s="4" t="n"/>
      <c r="I89" s="5" t="n"/>
      <c r="J89" s="4" t="n"/>
    </row>
    <row r="90">
      <c r="A90" s="4" t="n"/>
      <c r="B90" s="4" t="n"/>
      <c r="C90" s="4" t="n"/>
      <c r="D90" s="4" t="n"/>
      <c r="E90" s="4" t="n"/>
      <c r="F90" s="4">
        <f>IF(D90="", "", (IF(D90="Low",1,IF(D90="Medium",2,IF(D90="High",3,0)))) * (IF(E90="Low",1,IF(E90="Medium",2,IF(E90="High",3,0)))))</f>
        <v/>
      </c>
      <c r="G90" s="4" t="n"/>
      <c r="H90" s="4" t="n"/>
      <c r="I90" s="5" t="n"/>
      <c r="J90" s="4" t="n"/>
    </row>
    <row r="91">
      <c r="A91" s="4" t="n"/>
      <c r="B91" s="4" t="n"/>
      <c r="C91" s="4" t="n"/>
      <c r="D91" s="4" t="n"/>
      <c r="E91" s="4" t="n"/>
      <c r="F91" s="4">
        <f>IF(D91="", "", (IF(D91="Low",1,IF(D91="Medium",2,IF(D91="High",3,0)))) * (IF(E91="Low",1,IF(E91="Medium",2,IF(E91="High",3,0)))))</f>
        <v/>
      </c>
      <c r="G91" s="4" t="n"/>
      <c r="H91" s="4" t="n"/>
      <c r="I91" s="5" t="n"/>
      <c r="J91" s="4" t="n"/>
    </row>
    <row r="92">
      <c r="A92" s="4" t="n"/>
      <c r="B92" s="4" t="n"/>
      <c r="C92" s="4" t="n"/>
      <c r="D92" s="4" t="n"/>
      <c r="E92" s="4" t="n"/>
      <c r="F92" s="4">
        <f>IF(D92="", "", (IF(D92="Low",1,IF(D92="Medium",2,IF(D92="High",3,0)))) * (IF(E92="Low",1,IF(E92="Medium",2,IF(E92="High",3,0)))))</f>
        <v/>
      </c>
      <c r="G92" s="4" t="n"/>
      <c r="H92" s="4" t="n"/>
      <c r="I92" s="5" t="n"/>
      <c r="J92" s="4" t="n"/>
    </row>
    <row r="93">
      <c r="A93" s="4" t="n"/>
      <c r="B93" s="4" t="n"/>
      <c r="C93" s="4" t="n"/>
      <c r="D93" s="4" t="n"/>
      <c r="E93" s="4" t="n"/>
      <c r="F93" s="4">
        <f>IF(D93="", "", (IF(D93="Low",1,IF(D93="Medium",2,IF(D93="High",3,0)))) * (IF(E93="Low",1,IF(E93="Medium",2,IF(E93="High",3,0)))))</f>
        <v/>
      </c>
      <c r="G93" s="4" t="n"/>
      <c r="H93" s="4" t="n"/>
      <c r="I93" s="5" t="n"/>
      <c r="J93" s="4" t="n"/>
    </row>
    <row r="94">
      <c r="A94" s="4" t="n"/>
      <c r="B94" s="4" t="n"/>
      <c r="C94" s="4" t="n"/>
      <c r="D94" s="4" t="n"/>
      <c r="E94" s="4" t="n"/>
      <c r="F94" s="4">
        <f>IF(D94="", "", (IF(D94="Low",1,IF(D94="Medium",2,IF(D94="High",3,0)))) * (IF(E94="Low",1,IF(E94="Medium",2,IF(E94="High",3,0)))))</f>
        <v/>
      </c>
      <c r="G94" s="4" t="n"/>
      <c r="H94" s="4" t="n"/>
      <c r="I94" s="5" t="n"/>
      <c r="J94" s="4" t="n"/>
    </row>
    <row r="95">
      <c r="A95" s="4" t="n"/>
      <c r="B95" s="4" t="n"/>
      <c r="C95" s="4" t="n"/>
      <c r="D95" s="4" t="n"/>
      <c r="E95" s="4" t="n"/>
      <c r="F95" s="4">
        <f>IF(D95="", "", (IF(D95="Low",1,IF(D95="Medium",2,IF(D95="High",3,0)))) * (IF(E95="Low",1,IF(E95="Medium",2,IF(E95="High",3,0)))))</f>
        <v/>
      </c>
      <c r="G95" s="4" t="n"/>
      <c r="H95" s="4" t="n"/>
      <c r="I95" s="5" t="n"/>
      <c r="J95" s="4" t="n"/>
    </row>
    <row r="96">
      <c r="A96" s="4" t="n"/>
      <c r="B96" s="4" t="n"/>
      <c r="C96" s="4" t="n"/>
      <c r="D96" s="4" t="n"/>
      <c r="E96" s="4" t="n"/>
      <c r="F96" s="4">
        <f>IF(D96="", "", (IF(D96="Low",1,IF(D96="Medium",2,IF(D96="High",3,0)))) * (IF(E96="Low",1,IF(E96="Medium",2,IF(E96="High",3,0)))))</f>
        <v/>
      </c>
      <c r="G96" s="4" t="n"/>
      <c r="H96" s="4" t="n"/>
      <c r="I96" s="5" t="n"/>
      <c r="J96" s="4" t="n"/>
    </row>
    <row r="97">
      <c r="A97" s="4" t="n"/>
      <c r="B97" s="4" t="n"/>
      <c r="C97" s="4" t="n"/>
      <c r="D97" s="4" t="n"/>
      <c r="E97" s="4" t="n"/>
      <c r="F97" s="4">
        <f>IF(D97="", "", (IF(D97="Low",1,IF(D97="Medium",2,IF(D97="High",3,0)))) * (IF(E97="Low",1,IF(E97="Medium",2,IF(E97="High",3,0)))))</f>
        <v/>
      </c>
      <c r="G97" s="4" t="n"/>
      <c r="H97" s="4" t="n"/>
      <c r="I97" s="5" t="n"/>
      <c r="J97" s="4" t="n"/>
    </row>
    <row r="98">
      <c r="A98" s="4" t="n"/>
      <c r="B98" s="4" t="n"/>
      <c r="C98" s="4" t="n"/>
      <c r="D98" s="4" t="n"/>
      <c r="E98" s="4" t="n"/>
      <c r="F98" s="4">
        <f>IF(D98="", "", (IF(D98="Low",1,IF(D98="Medium",2,IF(D98="High",3,0)))) * (IF(E98="Low",1,IF(E98="Medium",2,IF(E98="High",3,0)))))</f>
        <v/>
      </c>
      <c r="G98" s="4" t="n"/>
      <c r="H98" s="4" t="n"/>
      <c r="I98" s="5" t="n"/>
      <c r="J98" s="4" t="n"/>
    </row>
    <row r="99">
      <c r="A99" s="4" t="n"/>
      <c r="B99" s="4" t="n"/>
      <c r="C99" s="4" t="n"/>
      <c r="D99" s="4" t="n"/>
      <c r="E99" s="4" t="n"/>
      <c r="F99" s="4">
        <f>IF(D99="", "", (IF(D99="Low",1,IF(D99="Medium",2,IF(D99="High",3,0)))) * (IF(E99="Low",1,IF(E99="Medium",2,IF(E99="High",3,0)))))</f>
        <v/>
      </c>
      <c r="G99" s="4" t="n"/>
      <c r="H99" s="4" t="n"/>
      <c r="I99" s="5" t="n"/>
      <c r="J99" s="4" t="n"/>
    </row>
    <row r="100">
      <c r="A100" s="4" t="n"/>
      <c r="B100" s="4" t="n"/>
      <c r="C100" s="4" t="n"/>
      <c r="D100" s="4" t="n"/>
      <c r="E100" s="4" t="n"/>
      <c r="F100" s="4">
        <f>IF(D100="", "", (IF(D100="Low",1,IF(D100="Medium",2,IF(D100="High",3,0)))) * (IF(E100="Low",1,IF(E100="Medium",2,IF(E100="High",3,0)))))</f>
        <v/>
      </c>
      <c r="G100" s="4" t="n"/>
      <c r="H100" s="4" t="n"/>
      <c r="I100" s="5" t="n"/>
      <c r="J100" s="4" t="n"/>
    </row>
    <row r="101">
      <c r="A101" s="4" t="n"/>
      <c r="B101" s="4" t="n"/>
      <c r="C101" s="4" t="n"/>
      <c r="D101" s="4" t="n"/>
      <c r="E101" s="4" t="n"/>
      <c r="F101" s="4">
        <f>IF(D101="", "", (IF(D101="Low",1,IF(D101="Medium",2,IF(D101="High",3,0)))) * (IF(E101="Low",1,IF(E101="Medium",2,IF(E101="High",3,0)))))</f>
        <v/>
      </c>
      <c r="G101" s="4" t="n"/>
      <c r="H101" s="4" t="n"/>
      <c r="I101" s="5" t="n"/>
      <c r="J101" s="4" t="n"/>
    </row>
    <row r="102">
      <c r="A102" s="4" t="n"/>
      <c r="B102" s="4" t="n"/>
      <c r="C102" s="4" t="n"/>
      <c r="D102" s="4" t="n"/>
      <c r="E102" s="4" t="n"/>
      <c r="F102" s="4">
        <f>IF(D102="", "", (IF(D102="Low",1,IF(D102="Medium",2,IF(D102="High",3,0)))) * (IF(E102="Low",1,IF(E102="Medium",2,IF(E102="High",3,0)))))</f>
        <v/>
      </c>
      <c r="G102" s="4" t="n"/>
      <c r="H102" s="4" t="n"/>
      <c r="I102" s="5" t="n"/>
      <c r="J102" s="4" t="n"/>
    </row>
    <row r="103">
      <c r="A103" s="4" t="n"/>
      <c r="B103" s="4" t="n"/>
      <c r="C103" s="4" t="n"/>
      <c r="D103" s="4" t="n"/>
      <c r="E103" s="4" t="n"/>
      <c r="F103" s="4">
        <f>IF(D103="", "", (IF(D103="Low",1,IF(D103="Medium",2,IF(D103="High",3,0)))) * (IF(E103="Low",1,IF(E103="Medium",2,IF(E103="High",3,0)))))</f>
        <v/>
      </c>
      <c r="G103" s="4" t="n"/>
      <c r="H103" s="4" t="n"/>
      <c r="I103" s="5" t="n"/>
      <c r="J103" s="4" t="n"/>
    </row>
    <row r="104">
      <c r="A104" s="4" t="n"/>
      <c r="B104" s="4" t="n"/>
      <c r="C104" s="4" t="n"/>
      <c r="D104" s="4" t="n"/>
      <c r="E104" s="4" t="n"/>
      <c r="F104" s="4">
        <f>IF(D104="", "", (IF(D104="Low",1,IF(D104="Medium",2,IF(D104="High",3,0)))) * (IF(E104="Low",1,IF(E104="Medium",2,IF(E104="High",3,0)))))</f>
        <v/>
      </c>
      <c r="G104" s="4" t="n"/>
      <c r="H104" s="4" t="n"/>
      <c r="I104" s="5" t="n"/>
      <c r="J104" s="4" t="n"/>
    </row>
    <row r="105">
      <c r="A105" s="4" t="n"/>
      <c r="B105" s="4" t="n"/>
      <c r="C105" s="4" t="n"/>
      <c r="D105" s="4" t="n"/>
      <c r="E105" s="4" t="n"/>
      <c r="F105" s="4">
        <f>IF(D105="", "", (IF(D105="Low",1,IF(D105="Medium",2,IF(D105="High",3,0)))) * (IF(E105="Low",1,IF(E105="Medium",2,IF(E105="High",3,0)))))</f>
        <v/>
      </c>
      <c r="G105" s="4" t="n"/>
      <c r="H105" s="4" t="n"/>
      <c r="I105" s="5" t="n"/>
      <c r="J105" s="4" t="n"/>
    </row>
    <row r="106">
      <c r="A106" s="4" t="n"/>
      <c r="B106" s="4" t="n"/>
      <c r="C106" s="4" t="n"/>
      <c r="D106" s="4" t="n"/>
      <c r="E106" s="4" t="n"/>
      <c r="F106" s="4">
        <f>IF(D106="", "", (IF(D106="Low",1,IF(D106="Medium",2,IF(D106="High",3,0)))) * (IF(E106="Low",1,IF(E106="Medium",2,IF(E106="High",3,0)))))</f>
        <v/>
      </c>
      <c r="G106" s="4" t="n"/>
      <c r="H106" s="4" t="n"/>
      <c r="I106" s="5" t="n"/>
      <c r="J106" s="4" t="n"/>
    </row>
    <row r="107">
      <c r="A107" s="4" t="n"/>
      <c r="B107" s="4" t="n"/>
      <c r="C107" s="4" t="n"/>
      <c r="D107" s="4" t="n"/>
      <c r="E107" s="4" t="n"/>
      <c r="F107" s="4">
        <f>IF(D107="", "", (IF(D107="Low",1,IF(D107="Medium",2,IF(D107="High",3,0)))) * (IF(E107="Low",1,IF(E107="Medium",2,IF(E107="High",3,0)))))</f>
        <v/>
      </c>
      <c r="G107" s="4" t="n"/>
      <c r="H107" s="4" t="n"/>
      <c r="I107" s="5" t="n"/>
      <c r="J107" s="4" t="n"/>
    </row>
    <row r="108">
      <c r="A108" s="4" t="n"/>
      <c r="B108" s="4" t="n"/>
      <c r="C108" s="4" t="n"/>
      <c r="D108" s="4" t="n"/>
      <c r="E108" s="4" t="n"/>
      <c r="F108" s="4">
        <f>IF(D108="", "", (IF(D108="Low",1,IF(D108="Medium",2,IF(D108="High",3,0)))) * (IF(E108="Low",1,IF(E108="Medium",2,IF(E108="High",3,0)))))</f>
        <v/>
      </c>
      <c r="G108" s="4" t="n"/>
      <c r="H108" s="4" t="n"/>
      <c r="I108" s="5" t="n"/>
      <c r="J108" s="4" t="n"/>
    </row>
    <row r="109">
      <c r="A109" s="4" t="n"/>
      <c r="B109" s="4" t="n"/>
      <c r="C109" s="4" t="n"/>
      <c r="D109" s="4" t="n"/>
      <c r="E109" s="4" t="n"/>
      <c r="F109" s="4">
        <f>IF(D109="", "", (IF(D109="Low",1,IF(D109="Medium",2,IF(D109="High",3,0)))) * (IF(E109="Low",1,IF(E109="Medium",2,IF(E109="High",3,0)))))</f>
        <v/>
      </c>
      <c r="G109" s="4" t="n"/>
      <c r="H109" s="4" t="n"/>
      <c r="I109" s="5" t="n"/>
      <c r="J109" s="4" t="n"/>
    </row>
    <row r="110">
      <c r="A110" s="4" t="n"/>
      <c r="B110" s="4" t="n"/>
      <c r="C110" s="4" t="n"/>
      <c r="D110" s="4" t="n"/>
      <c r="E110" s="4" t="n"/>
      <c r="F110" s="4">
        <f>IF(D110="", "", (IF(D110="Low",1,IF(D110="Medium",2,IF(D110="High",3,0)))) * (IF(E110="Low",1,IF(E110="Medium",2,IF(E110="High",3,0)))))</f>
        <v/>
      </c>
      <c r="G110" s="4" t="n"/>
      <c r="H110" s="4" t="n"/>
      <c r="I110" s="5" t="n"/>
      <c r="J110" s="4" t="n"/>
    </row>
    <row r="111">
      <c r="A111" s="4" t="n"/>
      <c r="B111" s="4" t="n"/>
      <c r="C111" s="4" t="n"/>
      <c r="D111" s="4" t="n"/>
      <c r="E111" s="4" t="n"/>
      <c r="F111" s="4">
        <f>IF(D111="", "", (IF(D111="Low",1,IF(D111="Medium",2,IF(D111="High",3,0)))) * (IF(E111="Low",1,IF(E111="Medium",2,IF(E111="High",3,0)))))</f>
        <v/>
      </c>
      <c r="G111" s="4" t="n"/>
      <c r="H111" s="4" t="n"/>
      <c r="I111" s="5" t="n"/>
      <c r="J111" s="4" t="n"/>
    </row>
    <row r="112">
      <c r="A112" s="4" t="n"/>
      <c r="B112" s="4" t="n"/>
      <c r="C112" s="4" t="n"/>
      <c r="D112" s="4" t="n"/>
      <c r="E112" s="4" t="n"/>
      <c r="F112" s="4">
        <f>IF(D112="", "", (IF(D112="Low",1,IF(D112="Medium",2,IF(D112="High",3,0)))) * (IF(E112="Low",1,IF(E112="Medium",2,IF(E112="High",3,0)))))</f>
        <v/>
      </c>
      <c r="G112" s="4" t="n"/>
      <c r="H112" s="4" t="n"/>
      <c r="I112" s="5" t="n"/>
      <c r="J112" s="4" t="n"/>
    </row>
    <row r="113">
      <c r="A113" s="4" t="n"/>
      <c r="B113" s="4" t="n"/>
      <c r="C113" s="4" t="n"/>
      <c r="D113" s="4" t="n"/>
      <c r="E113" s="4" t="n"/>
      <c r="F113" s="4">
        <f>IF(D113="", "", (IF(D113="Low",1,IF(D113="Medium",2,IF(D113="High",3,0)))) * (IF(E113="Low",1,IF(E113="Medium",2,IF(E113="High",3,0)))))</f>
        <v/>
      </c>
      <c r="G113" s="4" t="n"/>
      <c r="H113" s="4" t="n"/>
      <c r="I113" s="5" t="n"/>
      <c r="J113" s="4" t="n"/>
    </row>
    <row r="114">
      <c r="A114" s="4" t="n"/>
      <c r="B114" s="4" t="n"/>
      <c r="C114" s="4" t="n"/>
      <c r="D114" s="4" t="n"/>
      <c r="E114" s="4" t="n"/>
      <c r="F114" s="4">
        <f>IF(D114="", "", (IF(D114="Low",1,IF(D114="Medium",2,IF(D114="High",3,0)))) * (IF(E114="Low",1,IF(E114="Medium",2,IF(E114="High",3,0)))))</f>
        <v/>
      </c>
      <c r="G114" s="4" t="n"/>
      <c r="H114" s="4" t="n"/>
      <c r="I114" s="5" t="n"/>
      <c r="J114" s="4" t="n"/>
    </row>
    <row r="115">
      <c r="A115" s="4" t="n"/>
      <c r="B115" s="4" t="n"/>
      <c r="C115" s="4" t="n"/>
      <c r="D115" s="4" t="n"/>
      <c r="E115" s="4" t="n"/>
      <c r="F115" s="4">
        <f>IF(D115="", "", (IF(D115="Low",1,IF(D115="Medium",2,IF(D115="High",3,0)))) * (IF(E115="Low",1,IF(E115="Medium",2,IF(E115="High",3,0)))))</f>
        <v/>
      </c>
      <c r="G115" s="4" t="n"/>
      <c r="H115" s="4" t="n"/>
      <c r="I115" s="5" t="n"/>
      <c r="J115" s="4" t="n"/>
    </row>
    <row r="116">
      <c r="A116" s="4" t="n"/>
      <c r="B116" s="4" t="n"/>
      <c r="C116" s="4" t="n"/>
      <c r="D116" s="4" t="n"/>
      <c r="E116" s="4" t="n"/>
      <c r="F116" s="4">
        <f>IF(D116="", "", (IF(D116="Low",1,IF(D116="Medium",2,IF(D116="High",3,0)))) * (IF(E116="Low",1,IF(E116="Medium",2,IF(E116="High",3,0)))))</f>
        <v/>
      </c>
      <c r="G116" s="4" t="n"/>
      <c r="H116" s="4" t="n"/>
      <c r="I116" s="5" t="n"/>
      <c r="J116" s="4" t="n"/>
    </row>
    <row r="117">
      <c r="A117" s="4" t="n"/>
      <c r="B117" s="4" t="n"/>
      <c r="C117" s="4" t="n"/>
      <c r="D117" s="4" t="n"/>
      <c r="E117" s="4" t="n"/>
      <c r="F117" s="4">
        <f>IF(D117="", "", (IF(D117="Low",1,IF(D117="Medium",2,IF(D117="High",3,0)))) * (IF(E117="Low",1,IF(E117="Medium",2,IF(E117="High",3,0)))))</f>
        <v/>
      </c>
      <c r="G117" s="4" t="n"/>
      <c r="H117" s="4" t="n"/>
      <c r="I117" s="5" t="n"/>
      <c r="J117" s="4" t="n"/>
    </row>
    <row r="118">
      <c r="A118" s="4" t="n"/>
      <c r="B118" s="4" t="n"/>
      <c r="C118" s="4" t="n"/>
      <c r="D118" s="4" t="n"/>
      <c r="E118" s="4" t="n"/>
      <c r="F118" s="4">
        <f>IF(D118="", "", (IF(D118="Low",1,IF(D118="Medium",2,IF(D118="High",3,0)))) * (IF(E118="Low",1,IF(E118="Medium",2,IF(E118="High",3,0)))))</f>
        <v/>
      </c>
      <c r="G118" s="4" t="n"/>
      <c r="H118" s="4" t="n"/>
      <c r="I118" s="5" t="n"/>
      <c r="J118" s="4" t="n"/>
    </row>
    <row r="119">
      <c r="A119" s="4" t="n"/>
      <c r="B119" s="4" t="n"/>
      <c r="C119" s="4" t="n"/>
      <c r="D119" s="4" t="n"/>
      <c r="E119" s="4" t="n"/>
      <c r="F119" s="4">
        <f>IF(D119="", "", (IF(D119="Low",1,IF(D119="Medium",2,IF(D119="High",3,0)))) * (IF(E119="Low",1,IF(E119="Medium",2,IF(E119="High",3,0)))))</f>
        <v/>
      </c>
      <c r="G119" s="4" t="n"/>
      <c r="H119" s="4" t="n"/>
      <c r="I119" s="5" t="n"/>
      <c r="J119" s="4" t="n"/>
    </row>
    <row r="120">
      <c r="A120" s="4" t="n"/>
      <c r="B120" s="4" t="n"/>
      <c r="C120" s="4" t="n"/>
      <c r="D120" s="4" t="n"/>
      <c r="E120" s="4" t="n"/>
      <c r="F120" s="4">
        <f>IF(D120="", "", (IF(D120="Low",1,IF(D120="Medium",2,IF(D120="High",3,0)))) * (IF(E120="Low",1,IF(E120="Medium",2,IF(E120="High",3,0)))))</f>
        <v/>
      </c>
      <c r="G120" s="4" t="n"/>
      <c r="H120" s="4" t="n"/>
      <c r="I120" s="5" t="n"/>
      <c r="J120" s="4" t="n"/>
    </row>
    <row r="121">
      <c r="A121" s="4" t="n"/>
      <c r="B121" s="4" t="n"/>
      <c r="C121" s="4" t="n"/>
      <c r="D121" s="4" t="n"/>
      <c r="E121" s="4" t="n"/>
      <c r="F121" s="4">
        <f>IF(D121="", "", (IF(D121="Low",1,IF(D121="Medium",2,IF(D121="High",3,0)))) * (IF(E121="Low",1,IF(E121="Medium",2,IF(E121="High",3,0)))))</f>
        <v/>
      </c>
      <c r="G121" s="4" t="n"/>
      <c r="H121" s="4" t="n"/>
      <c r="I121" s="5" t="n"/>
      <c r="J121" s="4" t="n"/>
    </row>
    <row r="122">
      <c r="A122" s="4" t="n"/>
      <c r="B122" s="4" t="n"/>
      <c r="C122" s="4" t="n"/>
      <c r="D122" s="4" t="n"/>
      <c r="E122" s="4" t="n"/>
      <c r="F122" s="4">
        <f>IF(D122="", "", (IF(D122="Low",1,IF(D122="Medium",2,IF(D122="High",3,0)))) * (IF(E122="Low",1,IF(E122="Medium",2,IF(E122="High",3,0)))))</f>
        <v/>
      </c>
      <c r="G122" s="4" t="n"/>
      <c r="H122" s="4" t="n"/>
      <c r="I122" s="5" t="n"/>
      <c r="J122" s="4" t="n"/>
    </row>
    <row r="123">
      <c r="A123" s="4" t="n"/>
      <c r="B123" s="4" t="n"/>
      <c r="C123" s="4" t="n"/>
      <c r="D123" s="4" t="n"/>
      <c r="E123" s="4" t="n"/>
      <c r="F123" s="4">
        <f>IF(D123="", "", (IF(D123="Low",1,IF(D123="Medium",2,IF(D123="High",3,0)))) * (IF(E123="Low",1,IF(E123="Medium",2,IF(E123="High",3,0)))))</f>
        <v/>
      </c>
      <c r="G123" s="4" t="n"/>
      <c r="H123" s="4" t="n"/>
      <c r="I123" s="5" t="n"/>
      <c r="J123" s="4" t="n"/>
    </row>
    <row r="124">
      <c r="A124" s="4" t="n"/>
      <c r="B124" s="4" t="n"/>
      <c r="C124" s="4" t="n"/>
      <c r="D124" s="4" t="n"/>
      <c r="E124" s="4" t="n"/>
      <c r="F124" s="4">
        <f>IF(D124="", "", (IF(D124="Low",1,IF(D124="Medium",2,IF(D124="High",3,0)))) * (IF(E124="Low",1,IF(E124="Medium",2,IF(E124="High",3,0)))))</f>
        <v/>
      </c>
      <c r="G124" s="4" t="n"/>
      <c r="H124" s="4" t="n"/>
      <c r="I124" s="5" t="n"/>
      <c r="J124" s="4" t="n"/>
    </row>
    <row r="125">
      <c r="A125" s="4" t="n"/>
      <c r="B125" s="4" t="n"/>
      <c r="C125" s="4" t="n"/>
      <c r="D125" s="4" t="n"/>
      <c r="E125" s="4" t="n"/>
      <c r="F125" s="4">
        <f>IF(D125="", "", (IF(D125="Low",1,IF(D125="Medium",2,IF(D125="High",3,0)))) * (IF(E125="Low",1,IF(E125="Medium",2,IF(E125="High",3,0)))))</f>
        <v/>
      </c>
      <c r="G125" s="4" t="n"/>
      <c r="H125" s="4" t="n"/>
      <c r="I125" s="5" t="n"/>
      <c r="J125" s="4" t="n"/>
    </row>
    <row r="126">
      <c r="A126" s="4" t="n"/>
      <c r="B126" s="4" t="n"/>
      <c r="C126" s="4" t="n"/>
      <c r="D126" s="4" t="n"/>
      <c r="E126" s="4" t="n"/>
      <c r="F126" s="4">
        <f>IF(D126="", "", (IF(D126="Low",1,IF(D126="Medium",2,IF(D126="High",3,0)))) * (IF(E126="Low",1,IF(E126="Medium",2,IF(E126="High",3,0)))))</f>
        <v/>
      </c>
      <c r="G126" s="4" t="n"/>
      <c r="H126" s="4" t="n"/>
      <c r="I126" s="5" t="n"/>
      <c r="J126" s="4" t="n"/>
    </row>
    <row r="127">
      <c r="A127" s="4" t="n"/>
      <c r="B127" s="4" t="n"/>
      <c r="C127" s="4" t="n"/>
      <c r="D127" s="4" t="n"/>
      <c r="E127" s="4" t="n"/>
      <c r="F127" s="4">
        <f>IF(D127="", "", (IF(D127="Low",1,IF(D127="Medium",2,IF(D127="High",3,0)))) * (IF(E127="Low",1,IF(E127="Medium",2,IF(E127="High",3,0)))))</f>
        <v/>
      </c>
      <c r="G127" s="4" t="n"/>
      <c r="H127" s="4" t="n"/>
      <c r="I127" s="5" t="n"/>
      <c r="J127" s="4" t="n"/>
    </row>
    <row r="128">
      <c r="A128" s="4" t="n"/>
      <c r="B128" s="4" t="n"/>
      <c r="C128" s="4" t="n"/>
      <c r="D128" s="4" t="n"/>
      <c r="E128" s="4" t="n"/>
      <c r="F128" s="4">
        <f>IF(D128="", "", (IF(D128="Low",1,IF(D128="Medium",2,IF(D128="High",3,0)))) * (IF(E128="Low",1,IF(E128="Medium",2,IF(E128="High",3,0)))))</f>
        <v/>
      </c>
      <c r="G128" s="4" t="n"/>
      <c r="H128" s="4" t="n"/>
      <c r="I128" s="5" t="n"/>
      <c r="J128" s="4" t="n"/>
    </row>
    <row r="129">
      <c r="A129" s="4" t="n"/>
      <c r="B129" s="4" t="n"/>
      <c r="C129" s="4" t="n"/>
      <c r="D129" s="4" t="n"/>
      <c r="E129" s="4" t="n"/>
      <c r="F129" s="4">
        <f>IF(D129="", "", (IF(D129="Low",1,IF(D129="Medium",2,IF(D129="High",3,0)))) * (IF(E129="Low",1,IF(E129="Medium",2,IF(E129="High",3,0)))))</f>
        <v/>
      </c>
      <c r="G129" s="4" t="n"/>
      <c r="H129" s="4" t="n"/>
      <c r="I129" s="5" t="n"/>
      <c r="J129" s="4" t="n"/>
    </row>
    <row r="130">
      <c r="A130" s="4" t="n"/>
      <c r="B130" s="4" t="n"/>
      <c r="C130" s="4" t="n"/>
      <c r="D130" s="4" t="n"/>
      <c r="E130" s="4" t="n"/>
      <c r="F130" s="4">
        <f>IF(D130="", "", (IF(D130="Low",1,IF(D130="Medium",2,IF(D130="High",3,0)))) * (IF(E130="Low",1,IF(E130="Medium",2,IF(E130="High",3,0)))))</f>
        <v/>
      </c>
      <c r="G130" s="4" t="n"/>
      <c r="H130" s="4" t="n"/>
      <c r="I130" s="5" t="n"/>
      <c r="J130" s="4" t="n"/>
    </row>
    <row r="131">
      <c r="A131" s="4" t="n"/>
      <c r="B131" s="4" t="n"/>
      <c r="C131" s="4" t="n"/>
      <c r="D131" s="4" t="n"/>
      <c r="E131" s="4" t="n"/>
      <c r="F131" s="4">
        <f>IF(D131="", "", (IF(D131="Low",1,IF(D131="Medium",2,IF(D131="High",3,0)))) * (IF(E131="Low",1,IF(E131="Medium",2,IF(E131="High",3,0)))))</f>
        <v/>
      </c>
      <c r="G131" s="4" t="n"/>
      <c r="H131" s="4" t="n"/>
      <c r="I131" s="5" t="n"/>
      <c r="J131" s="4" t="n"/>
    </row>
    <row r="132">
      <c r="A132" s="4" t="n"/>
      <c r="B132" s="4" t="n"/>
      <c r="C132" s="4" t="n"/>
      <c r="D132" s="4" t="n"/>
      <c r="E132" s="4" t="n"/>
      <c r="F132" s="4">
        <f>IF(D132="", "", (IF(D132="Low",1,IF(D132="Medium",2,IF(D132="High",3,0)))) * (IF(E132="Low",1,IF(E132="Medium",2,IF(E132="High",3,0)))))</f>
        <v/>
      </c>
      <c r="G132" s="4" t="n"/>
      <c r="H132" s="4" t="n"/>
      <c r="I132" s="5" t="n"/>
      <c r="J132" s="4" t="n"/>
    </row>
    <row r="133">
      <c r="A133" s="4" t="n"/>
      <c r="B133" s="4" t="n"/>
      <c r="C133" s="4" t="n"/>
      <c r="D133" s="4" t="n"/>
      <c r="E133" s="4" t="n"/>
      <c r="F133" s="4">
        <f>IF(D133="", "", (IF(D133="Low",1,IF(D133="Medium",2,IF(D133="High",3,0)))) * (IF(E133="Low",1,IF(E133="Medium",2,IF(E133="High",3,0)))))</f>
        <v/>
      </c>
      <c r="G133" s="4" t="n"/>
      <c r="H133" s="4" t="n"/>
      <c r="I133" s="5" t="n"/>
      <c r="J133" s="4" t="n"/>
    </row>
    <row r="134">
      <c r="A134" s="4" t="n"/>
      <c r="B134" s="4" t="n"/>
      <c r="C134" s="4" t="n"/>
      <c r="D134" s="4" t="n"/>
      <c r="E134" s="4" t="n"/>
      <c r="F134" s="4">
        <f>IF(D134="", "", (IF(D134="Low",1,IF(D134="Medium",2,IF(D134="High",3,0)))) * (IF(E134="Low",1,IF(E134="Medium",2,IF(E134="High",3,0)))))</f>
        <v/>
      </c>
      <c r="G134" s="4" t="n"/>
      <c r="H134" s="4" t="n"/>
      <c r="I134" s="5" t="n"/>
      <c r="J134" s="4" t="n"/>
    </row>
    <row r="135">
      <c r="A135" s="4" t="n"/>
      <c r="B135" s="4" t="n"/>
      <c r="C135" s="4" t="n"/>
      <c r="D135" s="4" t="n"/>
      <c r="E135" s="4" t="n"/>
      <c r="F135" s="4">
        <f>IF(D135="", "", (IF(D135="Low",1,IF(D135="Medium",2,IF(D135="High",3,0)))) * (IF(E135="Low",1,IF(E135="Medium",2,IF(E135="High",3,0)))))</f>
        <v/>
      </c>
      <c r="G135" s="4" t="n"/>
      <c r="H135" s="4" t="n"/>
      <c r="I135" s="5" t="n"/>
      <c r="J135" s="4" t="n"/>
    </row>
    <row r="136">
      <c r="A136" s="4" t="n"/>
      <c r="B136" s="4" t="n"/>
      <c r="C136" s="4" t="n"/>
      <c r="D136" s="4" t="n"/>
      <c r="E136" s="4" t="n"/>
      <c r="F136" s="4">
        <f>IF(D136="", "", (IF(D136="Low",1,IF(D136="Medium",2,IF(D136="High",3,0)))) * (IF(E136="Low",1,IF(E136="Medium",2,IF(E136="High",3,0)))))</f>
        <v/>
      </c>
      <c r="G136" s="4" t="n"/>
      <c r="H136" s="4" t="n"/>
      <c r="I136" s="5" t="n"/>
      <c r="J136" s="4" t="n"/>
    </row>
    <row r="137">
      <c r="A137" s="4" t="n"/>
      <c r="B137" s="4" t="n"/>
      <c r="C137" s="4" t="n"/>
      <c r="D137" s="4" t="n"/>
      <c r="E137" s="4" t="n"/>
      <c r="F137" s="4">
        <f>IF(D137="", "", (IF(D137="Low",1,IF(D137="Medium",2,IF(D137="High",3,0)))) * (IF(E137="Low",1,IF(E137="Medium",2,IF(E137="High",3,0)))))</f>
        <v/>
      </c>
      <c r="G137" s="4" t="n"/>
      <c r="H137" s="4" t="n"/>
      <c r="I137" s="5" t="n"/>
      <c r="J137" s="4" t="n"/>
    </row>
    <row r="138">
      <c r="A138" s="4" t="n"/>
      <c r="B138" s="4" t="n"/>
      <c r="C138" s="4" t="n"/>
      <c r="D138" s="4" t="n"/>
      <c r="E138" s="4" t="n"/>
      <c r="F138" s="4">
        <f>IF(D138="", "", (IF(D138="Low",1,IF(D138="Medium",2,IF(D138="High",3,0)))) * (IF(E138="Low",1,IF(E138="Medium",2,IF(E138="High",3,0)))))</f>
        <v/>
      </c>
      <c r="G138" s="4" t="n"/>
      <c r="H138" s="4" t="n"/>
      <c r="I138" s="5" t="n"/>
      <c r="J138" s="4" t="n"/>
    </row>
    <row r="139">
      <c r="A139" s="4" t="n"/>
      <c r="B139" s="4" t="n"/>
      <c r="C139" s="4" t="n"/>
      <c r="D139" s="4" t="n"/>
      <c r="E139" s="4" t="n"/>
      <c r="F139" s="4">
        <f>IF(D139="", "", (IF(D139="Low",1,IF(D139="Medium",2,IF(D139="High",3,0)))) * (IF(E139="Low",1,IF(E139="Medium",2,IF(E139="High",3,0)))))</f>
        <v/>
      </c>
      <c r="G139" s="4" t="n"/>
      <c r="H139" s="4" t="n"/>
      <c r="I139" s="5" t="n"/>
      <c r="J139" s="4" t="n"/>
    </row>
    <row r="140">
      <c r="A140" s="4" t="n"/>
      <c r="B140" s="4" t="n"/>
      <c r="C140" s="4" t="n"/>
      <c r="D140" s="4" t="n"/>
      <c r="E140" s="4" t="n"/>
      <c r="F140" s="4">
        <f>IF(D140="", "", (IF(D140="Low",1,IF(D140="Medium",2,IF(D140="High",3,0)))) * (IF(E140="Low",1,IF(E140="Medium",2,IF(E140="High",3,0)))))</f>
        <v/>
      </c>
      <c r="G140" s="4" t="n"/>
      <c r="H140" s="4" t="n"/>
      <c r="I140" s="5" t="n"/>
      <c r="J140" s="4" t="n"/>
    </row>
    <row r="141">
      <c r="A141" s="4" t="n"/>
      <c r="B141" s="4" t="n"/>
      <c r="C141" s="4" t="n"/>
      <c r="D141" s="4" t="n"/>
      <c r="E141" s="4" t="n"/>
      <c r="F141" s="4">
        <f>IF(D141="", "", (IF(D141="Low",1,IF(D141="Medium",2,IF(D141="High",3,0)))) * (IF(E141="Low",1,IF(E141="Medium",2,IF(E141="High",3,0)))))</f>
        <v/>
      </c>
      <c r="G141" s="4" t="n"/>
      <c r="H141" s="4" t="n"/>
      <c r="I141" s="5" t="n"/>
      <c r="J141" s="4" t="n"/>
    </row>
    <row r="142">
      <c r="A142" s="4" t="n"/>
      <c r="B142" s="4" t="n"/>
      <c r="C142" s="4" t="n"/>
      <c r="D142" s="4" t="n"/>
      <c r="E142" s="4" t="n"/>
      <c r="F142" s="4">
        <f>IF(D142="", "", (IF(D142="Low",1,IF(D142="Medium",2,IF(D142="High",3,0)))) * (IF(E142="Low",1,IF(E142="Medium",2,IF(E142="High",3,0)))))</f>
        <v/>
      </c>
      <c r="G142" s="4" t="n"/>
      <c r="H142" s="4" t="n"/>
      <c r="I142" s="5" t="n"/>
      <c r="J142" s="4" t="n"/>
    </row>
    <row r="143">
      <c r="A143" s="4" t="n"/>
      <c r="B143" s="4" t="n"/>
      <c r="C143" s="4" t="n"/>
      <c r="D143" s="4" t="n"/>
      <c r="E143" s="4" t="n"/>
      <c r="F143" s="4">
        <f>IF(D143="", "", (IF(D143="Low",1,IF(D143="Medium",2,IF(D143="High",3,0)))) * (IF(E143="Low",1,IF(E143="Medium",2,IF(E143="High",3,0)))))</f>
        <v/>
      </c>
      <c r="G143" s="4" t="n"/>
      <c r="H143" s="4" t="n"/>
      <c r="I143" s="5" t="n"/>
      <c r="J143" s="4" t="n"/>
    </row>
    <row r="144">
      <c r="A144" s="4" t="n"/>
      <c r="B144" s="4" t="n"/>
      <c r="C144" s="4" t="n"/>
      <c r="D144" s="4" t="n"/>
      <c r="E144" s="4" t="n"/>
      <c r="F144" s="4">
        <f>IF(D144="", "", (IF(D144="Low",1,IF(D144="Medium",2,IF(D144="High",3,0)))) * (IF(E144="Low",1,IF(E144="Medium",2,IF(E144="High",3,0)))))</f>
        <v/>
      </c>
      <c r="G144" s="4" t="n"/>
      <c r="H144" s="4" t="n"/>
      <c r="I144" s="5" t="n"/>
      <c r="J144" s="4" t="n"/>
    </row>
    <row r="145">
      <c r="A145" s="4" t="n"/>
      <c r="B145" s="4" t="n"/>
      <c r="C145" s="4" t="n"/>
      <c r="D145" s="4" t="n"/>
      <c r="E145" s="4" t="n"/>
      <c r="F145" s="4">
        <f>IF(D145="", "", (IF(D145="Low",1,IF(D145="Medium",2,IF(D145="High",3,0)))) * (IF(E145="Low",1,IF(E145="Medium",2,IF(E145="High",3,0)))))</f>
        <v/>
      </c>
      <c r="G145" s="4" t="n"/>
      <c r="H145" s="4" t="n"/>
      <c r="I145" s="5" t="n"/>
      <c r="J145" s="4" t="n"/>
    </row>
    <row r="146">
      <c r="A146" s="4" t="n"/>
      <c r="B146" s="4" t="n"/>
      <c r="C146" s="4" t="n"/>
      <c r="D146" s="4" t="n"/>
      <c r="E146" s="4" t="n"/>
      <c r="F146" s="4">
        <f>IF(D146="", "", (IF(D146="Low",1,IF(D146="Medium",2,IF(D146="High",3,0)))) * (IF(E146="Low",1,IF(E146="Medium",2,IF(E146="High",3,0)))))</f>
        <v/>
      </c>
      <c r="G146" s="4" t="n"/>
      <c r="H146" s="4" t="n"/>
      <c r="I146" s="5" t="n"/>
      <c r="J146" s="4" t="n"/>
    </row>
    <row r="147">
      <c r="A147" s="4" t="n"/>
      <c r="B147" s="4" t="n"/>
      <c r="C147" s="4" t="n"/>
      <c r="D147" s="4" t="n"/>
      <c r="E147" s="4" t="n"/>
      <c r="F147" s="4">
        <f>IF(D147="", "", (IF(D147="Low",1,IF(D147="Medium",2,IF(D147="High",3,0)))) * (IF(E147="Low",1,IF(E147="Medium",2,IF(E147="High",3,0)))))</f>
        <v/>
      </c>
      <c r="G147" s="4" t="n"/>
      <c r="H147" s="4" t="n"/>
      <c r="I147" s="5" t="n"/>
      <c r="J147" s="4" t="n"/>
    </row>
    <row r="148">
      <c r="A148" s="4" t="n"/>
      <c r="B148" s="4" t="n"/>
      <c r="C148" s="4" t="n"/>
      <c r="D148" s="4" t="n"/>
      <c r="E148" s="4" t="n"/>
      <c r="F148" s="4">
        <f>IF(D148="", "", (IF(D148="Low",1,IF(D148="Medium",2,IF(D148="High",3,0)))) * (IF(E148="Low",1,IF(E148="Medium",2,IF(E148="High",3,0)))))</f>
        <v/>
      </c>
      <c r="G148" s="4" t="n"/>
      <c r="H148" s="4" t="n"/>
      <c r="I148" s="5" t="n"/>
      <c r="J148" s="4" t="n"/>
    </row>
    <row r="149">
      <c r="A149" s="4" t="n"/>
      <c r="B149" s="4" t="n"/>
      <c r="C149" s="4" t="n"/>
      <c r="D149" s="4" t="n"/>
      <c r="E149" s="4" t="n"/>
      <c r="F149" s="4">
        <f>IF(D149="", "", (IF(D149="Low",1,IF(D149="Medium",2,IF(D149="High",3,0)))) * (IF(E149="Low",1,IF(E149="Medium",2,IF(E149="High",3,0)))))</f>
        <v/>
      </c>
      <c r="G149" s="4" t="n"/>
      <c r="H149" s="4" t="n"/>
      <c r="I149" s="5" t="n"/>
      <c r="J149" s="4" t="n"/>
    </row>
    <row r="150">
      <c r="A150" s="4" t="n"/>
      <c r="B150" s="4" t="n"/>
      <c r="C150" s="4" t="n"/>
      <c r="D150" s="4" t="n"/>
      <c r="E150" s="4" t="n"/>
      <c r="F150" s="4">
        <f>IF(D150="", "", (IF(D150="Low",1,IF(D150="Medium",2,IF(D150="High",3,0)))) * (IF(E150="Low",1,IF(E150="Medium",2,IF(E150="High",3,0)))))</f>
        <v/>
      </c>
      <c r="G150" s="4" t="n"/>
      <c r="H150" s="4" t="n"/>
      <c r="I150" s="5" t="n"/>
      <c r="J150" s="4" t="n"/>
    </row>
    <row r="151">
      <c r="A151" s="4" t="n"/>
      <c r="B151" s="4" t="n"/>
      <c r="C151" s="4" t="n"/>
      <c r="D151" s="4" t="n"/>
      <c r="E151" s="4" t="n"/>
      <c r="F151" s="4">
        <f>IF(D151="", "", (IF(D151="Low",1,IF(D151="Medium",2,IF(D151="High",3,0)))) * (IF(E151="Low",1,IF(E151="Medium",2,IF(E151="High",3,0)))))</f>
        <v/>
      </c>
      <c r="G151" s="4" t="n"/>
      <c r="H151" s="4" t="n"/>
      <c r="I151" s="5" t="n"/>
      <c r="J151" s="4" t="n"/>
    </row>
    <row r="152">
      <c r="A152" s="4" t="n"/>
      <c r="B152" s="4" t="n"/>
      <c r="C152" s="4" t="n"/>
      <c r="D152" s="4" t="n"/>
      <c r="E152" s="4" t="n"/>
      <c r="F152" s="4">
        <f>IF(D152="", "", (IF(D152="Low",1,IF(D152="Medium",2,IF(D152="High",3,0)))) * (IF(E152="Low",1,IF(E152="Medium",2,IF(E152="High",3,0)))))</f>
        <v/>
      </c>
      <c r="G152" s="4" t="n"/>
      <c r="H152" s="4" t="n"/>
      <c r="I152" s="5" t="n"/>
      <c r="J152" s="4" t="n"/>
    </row>
    <row r="153">
      <c r="A153" s="4" t="n"/>
      <c r="B153" s="4" t="n"/>
      <c r="C153" s="4" t="n"/>
      <c r="D153" s="4" t="n"/>
      <c r="E153" s="4" t="n"/>
      <c r="F153" s="4">
        <f>IF(D153="", "", (IF(D153="Low",1,IF(D153="Medium",2,IF(D153="High",3,0)))) * (IF(E153="Low",1,IF(E153="Medium",2,IF(E153="High",3,0)))))</f>
        <v/>
      </c>
      <c r="G153" s="4" t="n"/>
      <c r="H153" s="4" t="n"/>
      <c r="I153" s="5" t="n"/>
      <c r="J153" s="4" t="n"/>
    </row>
    <row r="154">
      <c r="A154" s="4" t="n"/>
      <c r="B154" s="4" t="n"/>
      <c r="C154" s="4" t="n"/>
      <c r="D154" s="4" t="n"/>
      <c r="E154" s="4" t="n"/>
      <c r="F154" s="4">
        <f>IF(D154="", "", (IF(D154="Low",1,IF(D154="Medium",2,IF(D154="High",3,0)))) * (IF(E154="Low",1,IF(E154="Medium",2,IF(E154="High",3,0)))))</f>
        <v/>
      </c>
      <c r="G154" s="4" t="n"/>
      <c r="H154" s="4" t="n"/>
      <c r="I154" s="5" t="n"/>
      <c r="J154" s="4" t="n"/>
    </row>
    <row r="155">
      <c r="A155" s="4" t="n"/>
      <c r="B155" s="4" t="n"/>
      <c r="C155" s="4" t="n"/>
      <c r="D155" s="4" t="n"/>
      <c r="E155" s="4" t="n"/>
      <c r="F155" s="4">
        <f>IF(D155="", "", (IF(D155="Low",1,IF(D155="Medium",2,IF(D155="High",3,0)))) * (IF(E155="Low",1,IF(E155="Medium",2,IF(E155="High",3,0)))))</f>
        <v/>
      </c>
      <c r="G155" s="4" t="n"/>
      <c r="H155" s="4" t="n"/>
      <c r="I155" s="5" t="n"/>
      <c r="J155" s="4" t="n"/>
    </row>
    <row r="156">
      <c r="A156" s="4" t="n"/>
      <c r="B156" s="4" t="n"/>
      <c r="C156" s="4" t="n"/>
      <c r="D156" s="4" t="n"/>
      <c r="E156" s="4" t="n"/>
      <c r="F156" s="4">
        <f>IF(D156="", "", (IF(D156="Low",1,IF(D156="Medium",2,IF(D156="High",3,0)))) * (IF(E156="Low",1,IF(E156="Medium",2,IF(E156="High",3,0)))))</f>
        <v/>
      </c>
      <c r="G156" s="4" t="n"/>
      <c r="H156" s="4" t="n"/>
      <c r="I156" s="5" t="n"/>
      <c r="J156" s="4" t="n"/>
    </row>
    <row r="157">
      <c r="A157" s="4" t="n"/>
      <c r="B157" s="4" t="n"/>
      <c r="C157" s="4" t="n"/>
      <c r="D157" s="4" t="n"/>
      <c r="E157" s="4" t="n"/>
      <c r="F157" s="4">
        <f>IF(D157="", "", (IF(D157="Low",1,IF(D157="Medium",2,IF(D157="High",3,0)))) * (IF(E157="Low",1,IF(E157="Medium",2,IF(E157="High",3,0)))))</f>
        <v/>
      </c>
      <c r="G157" s="4" t="n"/>
      <c r="H157" s="4" t="n"/>
      <c r="I157" s="5" t="n"/>
      <c r="J157" s="4" t="n"/>
    </row>
    <row r="158">
      <c r="A158" s="4" t="n"/>
      <c r="B158" s="4" t="n"/>
      <c r="C158" s="4" t="n"/>
      <c r="D158" s="4" t="n"/>
      <c r="E158" s="4" t="n"/>
      <c r="F158" s="4">
        <f>IF(D158="", "", (IF(D158="Low",1,IF(D158="Medium",2,IF(D158="High",3,0)))) * (IF(E158="Low",1,IF(E158="Medium",2,IF(E158="High",3,0)))))</f>
        <v/>
      </c>
      <c r="G158" s="4" t="n"/>
      <c r="H158" s="4" t="n"/>
      <c r="I158" s="5" t="n"/>
      <c r="J158" s="4" t="n"/>
    </row>
    <row r="159">
      <c r="A159" s="4" t="n"/>
      <c r="B159" s="4" t="n"/>
      <c r="C159" s="4" t="n"/>
      <c r="D159" s="4" t="n"/>
      <c r="E159" s="4" t="n"/>
      <c r="F159" s="4">
        <f>IF(D159="", "", (IF(D159="Low",1,IF(D159="Medium",2,IF(D159="High",3,0)))) * (IF(E159="Low",1,IF(E159="Medium",2,IF(E159="High",3,0)))))</f>
        <v/>
      </c>
      <c r="G159" s="4" t="n"/>
      <c r="H159" s="4" t="n"/>
      <c r="I159" s="5" t="n"/>
      <c r="J159" s="4" t="n"/>
    </row>
    <row r="160">
      <c r="A160" s="4" t="n"/>
      <c r="B160" s="4" t="n"/>
      <c r="C160" s="4" t="n"/>
      <c r="D160" s="4" t="n"/>
      <c r="E160" s="4" t="n"/>
      <c r="F160" s="4">
        <f>IF(D160="", "", (IF(D160="Low",1,IF(D160="Medium",2,IF(D160="High",3,0)))) * (IF(E160="Low",1,IF(E160="Medium",2,IF(E160="High",3,0)))))</f>
        <v/>
      </c>
      <c r="G160" s="4" t="n"/>
      <c r="H160" s="4" t="n"/>
      <c r="I160" s="5" t="n"/>
      <c r="J160" s="4" t="n"/>
    </row>
    <row r="161">
      <c r="A161" s="4" t="n"/>
      <c r="B161" s="4" t="n"/>
      <c r="C161" s="4" t="n"/>
      <c r="D161" s="4" t="n"/>
      <c r="E161" s="4" t="n"/>
      <c r="F161" s="4">
        <f>IF(D161="", "", (IF(D161="Low",1,IF(D161="Medium",2,IF(D161="High",3,0)))) * (IF(E161="Low",1,IF(E161="Medium",2,IF(E161="High",3,0)))))</f>
        <v/>
      </c>
      <c r="G161" s="4" t="n"/>
      <c r="H161" s="4" t="n"/>
      <c r="I161" s="5" t="n"/>
      <c r="J161" s="4" t="n"/>
    </row>
    <row r="162">
      <c r="A162" s="4" t="n"/>
      <c r="B162" s="4" t="n"/>
      <c r="C162" s="4" t="n"/>
      <c r="D162" s="4" t="n"/>
      <c r="E162" s="4" t="n"/>
      <c r="F162" s="4">
        <f>IF(D162="", "", (IF(D162="Low",1,IF(D162="Medium",2,IF(D162="High",3,0)))) * (IF(E162="Low",1,IF(E162="Medium",2,IF(E162="High",3,0)))))</f>
        <v/>
      </c>
      <c r="G162" s="4" t="n"/>
      <c r="H162" s="4" t="n"/>
      <c r="I162" s="5" t="n"/>
      <c r="J162" s="4" t="n"/>
    </row>
    <row r="163">
      <c r="A163" s="4" t="n"/>
      <c r="B163" s="4" t="n"/>
      <c r="C163" s="4" t="n"/>
      <c r="D163" s="4" t="n"/>
      <c r="E163" s="4" t="n"/>
      <c r="F163" s="4">
        <f>IF(D163="", "", (IF(D163="Low",1,IF(D163="Medium",2,IF(D163="High",3,0)))) * (IF(E163="Low",1,IF(E163="Medium",2,IF(E163="High",3,0)))))</f>
        <v/>
      </c>
      <c r="G163" s="4" t="n"/>
      <c r="H163" s="4" t="n"/>
      <c r="I163" s="5" t="n"/>
      <c r="J163" s="4" t="n"/>
    </row>
    <row r="164">
      <c r="A164" s="4" t="n"/>
      <c r="B164" s="4" t="n"/>
      <c r="C164" s="4" t="n"/>
      <c r="D164" s="4" t="n"/>
      <c r="E164" s="4" t="n"/>
      <c r="F164" s="4">
        <f>IF(D164="", "", (IF(D164="Low",1,IF(D164="Medium",2,IF(D164="High",3,0)))) * (IF(E164="Low",1,IF(E164="Medium",2,IF(E164="High",3,0)))))</f>
        <v/>
      </c>
      <c r="G164" s="4" t="n"/>
      <c r="H164" s="4" t="n"/>
      <c r="I164" s="5" t="n"/>
      <c r="J164" s="4" t="n"/>
    </row>
    <row r="165">
      <c r="A165" s="4" t="n"/>
      <c r="B165" s="4" t="n"/>
      <c r="C165" s="4" t="n"/>
      <c r="D165" s="4" t="n"/>
      <c r="E165" s="4" t="n"/>
      <c r="F165" s="4">
        <f>IF(D165="", "", (IF(D165="Low",1,IF(D165="Medium",2,IF(D165="High",3,0)))) * (IF(E165="Low",1,IF(E165="Medium",2,IF(E165="High",3,0)))))</f>
        <v/>
      </c>
      <c r="G165" s="4" t="n"/>
      <c r="H165" s="4" t="n"/>
      <c r="I165" s="5" t="n"/>
      <c r="J165" s="4" t="n"/>
    </row>
    <row r="166">
      <c r="A166" s="4" t="n"/>
      <c r="B166" s="4" t="n"/>
      <c r="C166" s="4" t="n"/>
      <c r="D166" s="4" t="n"/>
      <c r="E166" s="4" t="n"/>
      <c r="F166" s="4">
        <f>IF(D166="", "", (IF(D166="Low",1,IF(D166="Medium",2,IF(D166="High",3,0)))) * (IF(E166="Low",1,IF(E166="Medium",2,IF(E166="High",3,0)))))</f>
        <v/>
      </c>
      <c r="G166" s="4" t="n"/>
      <c r="H166" s="4" t="n"/>
      <c r="I166" s="5" t="n"/>
      <c r="J166" s="4" t="n"/>
    </row>
    <row r="167">
      <c r="A167" s="4" t="n"/>
      <c r="B167" s="4" t="n"/>
      <c r="C167" s="4" t="n"/>
      <c r="D167" s="4" t="n"/>
      <c r="E167" s="4" t="n"/>
      <c r="F167" s="4">
        <f>IF(D167="", "", (IF(D167="Low",1,IF(D167="Medium",2,IF(D167="High",3,0)))) * (IF(E167="Low",1,IF(E167="Medium",2,IF(E167="High",3,0)))))</f>
        <v/>
      </c>
      <c r="G167" s="4" t="n"/>
      <c r="H167" s="4" t="n"/>
      <c r="I167" s="5" t="n"/>
      <c r="J167" s="4" t="n"/>
    </row>
    <row r="168">
      <c r="A168" s="4" t="n"/>
      <c r="B168" s="4" t="n"/>
      <c r="C168" s="4" t="n"/>
      <c r="D168" s="4" t="n"/>
      <c r="E168" s="4" t="n"/>
      <c r="F168" s="4">
        <f>IF(D168="", "", (IF(D168="Low",1,IF(D168="Medium",2,IF(D168="High",3,0)))) * (IF(E168="Low",1,IF(E168="Medium",2,IF(E168="High",3,0)))))</f>
        <v/>
      </c>
      <c r="G168" s="4" t="n"/>
      <c r="H168" s="4" t="n"/>
      <c r="I168" s="5" t="n"/>
      <c r="J168" s="4" t="n"/>
    </row>
    <row r="169">
      <c r="A169" s="4" t="n"/>
      <c r="B169" s="4" t="n"/>
      <c r="C169" s="4" t="n"/>
      <c r="D169" s="4" t="n"/>
      <c r="E169" s="4" t="n"/>
      <c r="F169" s="4">
        <f>IF(D169="", "", (IF(D169="Low",1,IF(D169="Medium",2,IF(D169="High",3,0)))) * (IF(E169="Low",1,IF(E169="Medium",2,IF(E169="High",3,0)))))</f>
        <v/>
      </c>
      <c r="G169" s="4" t="n"/>
      <c r="H169" s="4" t="n"/>
      <c r="I169" s="5" t="n"/>
      <c r="J169" s="4" t="n"/>
    </row>
    <row r="170">
      <c r="A170" s="4" t="n"/>
      <c r="B170" s="4" t="n"/>
      <c r="C170" s="4" t="n"/>
      <c r="D170" s="4" t="n"/>
      <c r="E170" s="4" t="n"/>
      <c r="F170" s="4">
        <f>IF(D170="", "", (IF(D170="Low",1,IF(D170="Medium",2,IF(D170="High",3,0)))) * (IF(E170="Low",1,IF(E170="Medium",2,IF(E170="High",3,0)))))</f>
        <v/>
      </c>
      <c r="G170" s="4" t="n"/>
      <c r="H170" s="4" t="n"/>
      <c r="I170" s="5" t="n"/>
      <c r="J170" s="4" t="n"/>
    </row>
    <row r="171">
      <c r="A171" s="4" t="n"/>
      <c r="B171" s="4" t="n"/>
      <c r="C171" s="4" t="n"/>
      <c r="D171" s="4" t="n"/>
      <c r="E171" s="4" t="n"/>
      <c r="F171" s="4">
        <f>IF(D171="", "", (IF(D171="Low",1,IF(D171="Medium",2,IF(D171="High",3,0)))) * (IF(E171="Low",1,IF(E171="Medium",2,IF(E171="High",3,0)))))</f>
        <v/>
      </c>
      <c r="G171" s="4" t="n"/>
      <c r="H171" s="4" t="n"/>
      <c r="I171" s="5" t="n"/>
      <c r="J171" s="4" t="n"/>
    </row>
    <row r="172">
      <c r="A172" s="4" t="n"/>
      <c r="B172" s="4" t="n"/>
      <c r="C172" s="4" t="n"/>
      <c r="D172" s="4" t="n"/>
      <c r="E172" s="4" t="n"/>
      <c r="F172" s="4">
        <f>IF(D172="", "", (IF(D172="Low",1,IF(D172="Medium",2,IF(D172="High",3,0)))) * (IF(E172="Low",1,IF(E172="Medium",2,IF(E172="High",3,0)))))</f>
        <v/>
      </c>
      <c r="G172" s="4" t="n"/>
      <c r="H172" s="4" t="n"/>
      <c r="I172" s="5" t="n"/>
      <c r="J172" s="4" t="n"/>
    </row>
    <row r="173">
      <c r="A173" s="4" t="n"/>
      <c r="B173" s="4" t="n"/>
      <c r="C173" s="4" t="n"/>
      <c r="D173" s="4" t="n"/>
      <c r="E173" s="4" t="n"/>
      <c r="F173" s="4">
        <f>IF(D173="", "", (IF(D173="Low",1,IF(D173="Medium",2,IF(D173="High",3,0)))) * (IF(E173="Low",1,IF(E173="Medium",2,IF(E173="High",3,0)))))</f>
        <v/>
      </c>
      <c r="G173" s="4" t="n"/>
      <c r="H173" s="4" t="n"/>
      <c r="I173" s="5" t="n"/>
      <c r="J173" s="4" t="n"/>
    </row>
    <row r="174">
      <c r="A174" s="4" t="n"/>
      <c r="B174" s="4" t="n"/>
      <c r="C174" s="4" t="n"/>
      <c r="D174" s="4" t="n"/>
      <c r="E174" s="4" t="n"/>
      <c r="F174" s="4">
        <f>IF(D174="", "", (IF(D174="Low",1,IF(D174="Medium",2,IF(D174="High",3,0)))) * (IF(E174="Low",1,IF(E174="Medium",2,IF(E174="High",3,0)))))</f>
        <v/>
      </c>
      <c r="G174" s="4" t="n"/>
      <c r="H174" s="4" t="n"/>
      <c r="I174" s="5" t="n"/>
      <c r="J174" s="4" t="n"/>
    </row>
    <row r="175">
      <c r="A175" s="4" t="n"/>
      <c r="B175" s="4" t="n"/>
      <c r="C175" s="4" t="n"/>
      <c r="D175" s="4" t="n"/>
      <c r="E175" s="4" t="n"/>
      <c r="F175" s="4">
        <f>IF(D175="", "", (IF(D175="Low",1,IF(D175="Medium",2,IF(D175="High",3,0)))) * (IF(E175="Low",1,IF(E175="Medium",2,IF(E175="High",3,0)))))</f>
        <v/>
      </c>
      <c r="G175" s="4" t="n"/>
      <c r="H175" s="4" t="n"/>
      <c r="I175" s="5" t="n"/>
      <c r="J175" s="4" t="n"/>
    </row>
    <row r="176">
      <c r="A176" s="4" t="n"/>
      <c r="B176" s="4" t="n"/>
      <c r="C176" s="4" t="n"/>
      <c r="D176" s="4" t="n"/>
      <c r="E176" s="4" t="n"/>
      <c r="F176" s="4">
        <f>IF(D176="", "", (IF(D176="Low",1,IF(D176="Medium",2,IF(D176="High",3,0)))) * (IF(E176="Low",1,IF(E176="Medium",2,IF(E176="High",3,0)))))</f>
        <v/>
      </c>
      <c r="G176" s="4" t="n"/>
      <c r="H176" s="4" t="n"/>
      <c r="I176" s="5" t="n"/>
      <c r="J176" s="4" t="n"/>
    </row>
    <row r="177">
      <c r="A177" s="4" t="n"/>
      <c r="B177" s="4" t="n"/>
      <c r="C177" s="4" t="n"/>
      <c r="D177" s="4" t="n"/>
      <c r="E177" s="4" t="n"/>
      <c r="F177" s="4">
        <f>IF(D177="", "", (IF(D177="Low",1,IF(D177="Medium",2,IF(D177="High",3,0)))) * (IF(E177="Low",1,IF(E177="Medium",2,IF(E177="High",3,0)))))</f>
        <v/>
      </c>
      <c r="G177" s="4" t="n"/>
      <c r="H177" s="4" t="n"/>
      <c r="I177" s="5" t="n"/>
      <c r="J177" s="4" t="n"/>
    </row>
    <row r="178">
      <c r="A178" s="4" t="n"/>
      <c r="B178" s="4" t="n"/>
      <c r="C178" s="4" t="n"/>
      <c r="D178" s="4" t="n"/>
      <c r="E178" s="4" t="n"/>
      <c r="F178" s="4">
        <f>IF(D178="", "", (IF(D178="Low",1,IF(D178="Medium",2,IF(D178="High",3,0)))) * (IF(E178="Low",1,IF(E178="Medium",2,IF(E178="High",3,0)))))</f>
        <v/>
      </c>
      <c r="G178" s="4" t="n"/>
      <c r="H178" s="4" t="n"/>
      <c r="I178" s="5" t="n"/>
      <c r="J178" s="4" t="n"/>
    </row>
    <row r="179">
      <c r="A179" s="4" t="n"/>
      <c r="B179" s="4" t="n"/>
      <c r="C179" s="4" t="n"/>
      <c r="D179" s="4" t="n"/>
      <c r="E179" s="4" t="n"/>
      <c r="F179" s="4">
        <f>IF(D179="", "", (IF(D179="Low",1,IF(D179="Medium",2,IF(D179="High",3,0)))) * (IF(E179="Low",1,IF(E179="Medium",2,IF(E179="High",3,0)))))</f>
        <v/>
      </c>
      <c r="G179" s="4" t="n"/>
      <c r="H179" s="4" t="n"/>
      <c r="I179" s="5" t="n"/>
      <c r="J179" s="4" t="n"/>
    </row>
    <row r="180">
      <c r="A180" s="4" t="n"/>
      <c r="B180" s="4" t="n"/>
      <c r="C180" s="4" t="n"/>
      <c r="D180" s="4" t="n"/>
      <c r="E180" s="4" t="n"/>
      <c r="F180" s="4">
        <f>IF(D180="", "", (IF(D180="Low",1,IF(D180="Medium",2,IF(D180="High",3,0)))) * (IF(E180="Low",1,IF(E180="Medium",2,IF(E180="High",3,0)))))</f>
        <v/>
      </c>
      <c r="G180" s="4" t="n"/>
      <c r="H180" s="4" t="n"/>
      <c r="I180" s="5" t="n"/>
      <c r="J180" s="4" t="n"/>
    </row>
    <row r="181">
      <c r="A181" s="4" t="n"/>
      <c r="B181" s="4" t="n"/>
      <c r="C181" s="4" t="n"/>
      <c r="D181" s="4" t="n"/>
      <c r="E181" s="4" t="n"/>
      <c r="F181" s="4">
        <f>IF(D181="", "", (IF(D181="Low",1,IF(D181="Medium",2,IF(D181="High",3,0)))) * (IF(E181="Low",1,IF(E181="Medium",2,IF(E181="High",3,0)))))</f>
        <v/>
      </c>
      <c r="G181" s="4" t="n"/>
      <c r="H181" s="4" t="n"/>
      <c r="I181" s="5" t="n"/>
      <c r="J181" s="4" t="n"/>
    </row>
    <row r="182">
      <c r="A182" s="4" t="n"/>
      <c r="B182" s="4" t="n"/>
      <c r="C182" s="4" t="n"/>
      <c r="D182" s="4" t="n"/>
      <c r="E182" s="4" t="n"/>
      <c r="F182" s="4">
        <f>IF(D182="", "", (IF(D182="Low",1,IF(D182="Medium",2,IF(D182="High",3,0)))) * (IF(E182="Low",1,IF(E182="Medium",2,IF(E182="High",3,0)))))</f>
        <v/>
      </c>
      <c r="G182" s="4" t="n"/>
      <c r="H182" s="4" t="n"/>
      <c r="I182" s="5" t="n"/>
      <c r="J182" s="4" t="n"/>
    </row>
    <row r="183">
      <c r="A183" s="4" t="n"/>
      <c r="B183" s="4" t="n"/>
      <c r="C183" s="4" t="n"/>
      <c r="D183" s="4" t="n"/>
      <c r="E183" s="4" t="n"/>
      <c r="F183" s="4">
        <f>IF(D183="", "", (IF(D183="Low",1,IF(D183="Medium",2,IF(D183="High",3,0)))) * (IF(E183="Low",1,IF(E183="Medium",2,IF(E183="High",3,0)))))</f>
        <v/>
      </c>
      <c r="G183" s="4" t="n"/>
      <c r="H183" s="4" t="n"/>
      <c r="I183" s="5" t="n"/>
      <c r="J183" s="4" t="n"/>
    </row>
    <row r="184">
      <c r="A184" s="4" t="n"/>
      <c r="B184" s="4" t="n"/>
      <c r="C184" s="4" t="n"/>
      <c r="D184" s="4" t="n"/>
      <c r="E184" s="4" t="n"/>
      <c r="F184" s="4">
        <f>IF(D184="", "", (IF(D184="Low",1,IF(D184="Medium",2,IF(D184="High",3,0)))) * (IF(E184="Low",1,IF(E184="Medium",2,IF(E184="High",3,0)))))</f>
        <v/>
      </c>
      <c r="G184" s="4" t="n"/>
      <c r="H184" s="4" t="n"/>
      <c r="I184" s="5" t="n"/>
      <c r="J184" s="4" t="n"/>
    </row>
    <row r="185">
      <c r="A185" s="4" t="n"/>
      <c r="B185" s="4" t="n"/>
      <c r="C185" s="4" t="n"/>
      <c r="D185" s="4" t="n"/>
      <c r="E185" s="4" t="n"/>
      <c r="F185" s="4">
        <f>IF(D185="", "", (IF(D185="Low",1,IF(D185="Medium",2,IF(D185="High",3,0)))) * (IF(E185="Low",1,IF(E185="Medium",2,IF(E185="High",3,0)))))</f>
        <v/>
      </c>
      <c r="G185" s="4" t="n"/>
      <c r="H185" s="4" t="n"/>
      <c r="I185" s="5" t="n"/>
      <c r="J185" s="4" t="n"/>
    </row>
    <row r="186">
      <c r="A186" s="4" t="n"/>
      <c r="B186" s="4" t="n"/>
      <c r="C186" s="4" t="n"/>
      <c r="D186" s="4" t="n"/>
      <c r="E186" s="4" t="n"/>
      <c r="F186" s="4">
        <f>IF(D186="", "", (IF(D186="Low",1,IF(D186="Medium",2,IF(D186="High",3,0)))) * (IF(E186="Low",1,IF(E186="Medium",2,IF(E186="High",3,0)))))</f>
        <v/>
      </c>
      <c r="G186" s="4" t="n"/>
      <c r="H186" s="4" t="n"/>
      <c r="I186" s="5" t="n"/>
      <c r="J186" s="4" t="n"/>
    </row>
    <row r="187">
      <c r="A187" s="4" t="n"/>
      <c r="B187" s="4" t="n"/>
      <c r="C187" s="4" t="n"/>
      <c r="D187" s="4" t="n"/>
      <c r="E187" s="4" t="n"/>
      <c r="F187" s="4">
        <f>IF(D187="", "", (IF(D187="Low",1,IF(D187="Medium",2,IF(D187="High",3,0)))) * (IF(E187="Low",1,IF(E187="Medium",2,IF(E187="High",3,0)))))</f>
        <v/>
      </c>
      <c r="G187" s="4" t="n"/>
      <c r="H187" s="4" t="n"/>
      <c r="I187" s="5" t="n"/>
      <c r="J187" s="4" t="n"/>
    </row>
    <row r="188">
      <c r="A188" s="4" t="n"/>
      <c r="B188" s="4" t="n"/>
      <c r="C188" s="4" t="n"/>
      <c r="D188" s="4" t="n"/>
      <c r="E188" s="4" t="n"/>
      <c r="F188" s="4">
        <f>IF(D188="", "", (IF(D188="Low",1,IF(D188="Medium",2,IF(D188="High",3,0)))) * (IF(E188="Low",1,IF(E188="Medium",2,IF(E188="High",3,0)))))</f>
        <v/>
      </c>
      <c r="G188" s="4" t="n"/>
      <c r="H188" s="4" t="n"/>
      <c r="I188" s="5" t="n"/>
      <c r="J188" s="4" t="n"/>
    </row>
    <row r="189">
      <c r="A189" s="4" t="n"/>
      <c r="B189" s="4" t="n"/>
      <c r="C189" s="4" t="n"/>
      <c r="D189" s="4" t="n"/>
      <c r="E189" s="4" t="n"/>
      <c r="F189" s="4">
        <f>IF(D189="", "", (IF(D189="Low",1,IF(D189="Medium",2,IF(D189="High",3,0)))) * (IF(E189="Low",1,IF(E189="Medium",2,IF(E189="High",3,0)))))</f>
        <v/>
      </c>
      <c r="G189" s="4" t="n"/>
      <c r="H189" s="4" t="n"/>
      <c r="I189" s="5" t="n"/>
      <c r="J189" s="4" t="n"/>
    </row>
    <row r="190">
      <c r="A190" s="4" t="n"/>
      <c r="B190" s="4" t="n"/>
      <c r="C190" s="4" t="n"/>
      <c r="D190" s="4" t="n"/>
      <c r="E190" s="4" t="n"/>
      <c r="F190" s="4">
        <f>IF(D190="", "", (IF(D190="Low",1,IF(D190="Medium",2,IF(D190="High",3,0)))) * (IF(E190="Low",1,IF(E190="Medium",2,IF(E190="High",3,0)))))</f>
        <v/>
      </c>
      <c r="G190" s="4" t="n"/>
      <c r="H190" s="4" t="n"/>
      <c r="I190" s="5" t="n"/>
      <c r="J190" s="4" t="n"/>
    </row>
    <row r="191">
      <c r="A191" s="4" t="n"/>
      <c r="B191" s="4" t="n"/>
      <c r="C191" s="4" t="n"/>
      <c r="D191" s="4" t="n"/>
      <c r="E191" s="4" t="n"/>
      <c r="F191" s="4">
        <f>IF(D191="", "", (IF(D191="Low",1,IF(D191="Medium",2,IF(D191="High",3,0)))) * (IF(E191="Low",1,IF(E191="Medium",2,IF(E191="High",3,0)))))</f>
        <v/>
      </c>
      <c r="G191" s="4" t="n"/>
      <c r="H191" s="4" t="n"/>
      <c r="I191" s="5" t="n"/>
      <c r="J191" s="4" t="n"/>
    </row>
    <row r="192">
      <c r="A192" s="4" t="n"/>
      <c r="B192" s="4" t="n"/>
      <c r="C192" s="4" t="n"/>
      <c r="D192" s="4" t="n"/>
      <c r="E192" s="4" t="n"/>
      <c r="F192" s="4">
        <f>IF(D192="", "", (IF(D192="Low",1,IF(D192="Medium",2,IF(D192="High",3,0)))) * (IF(E192="Low",1,IF(E192="Medium",2,IF(E192="High",3,0)))))</f>
        <v/>
      </c>
      <c r="G192" s="4" t="n"/>
      <c r="H192" s="4" t="n"/>
      <c r="I192" s="5" t="n"/>
      <c r="J192" s="4" t="n"/>
    </row>
    <row r="193">
      <c r="A193" s="4" t="n"/>
      <c r="B193" s="4" t="n"/>
      <c r="C193" s="4" t="n"/>
      <c r="D193" s="4" t="n"/>
      <c r="E193" s="4" t="n"/>
      <c r="F193" s="4">
        <f>IF(D193="", "", (IF(D193="Low",1,IF(D193="Medium",2,IF(D193="High",3,0)))) * (IF(E193="Low",1,IF(E193="Medium",2,IF(E193="High",3,0)))))</f>
        <v/>
      </c>
      <c r="G193" s="4" t="n"/>
      <c r="H193" s="4" t="n"/>
      <c r="I193" s="5" t="n"/>
      <c r="J193" s="4" t="n"/>
    </row>
    <row r="194">
      <c r="A194" s="4" t="n"/>
      <c r="B194" s="4" t="n"/>
      <c r="C194" s="4" t="n"/>
      <c r="D194" s="4" t="n"/>
      <c r="E194" s="4" t="n"/>
      <c r="F194" s="4">
        <f>IF(D194="", "", (IF(D194="Low",1,IF(D194="Medium",2,IF(D194="High",3,0)))) * (IF(E194="Low",1,IF(E194="Medium",2,IF(E194="High",3,0)))))</f>
        <v/>
      </c>
      <c r="G194" s="4" t="n"/>
      <c r="H194" s="4" t="n"/>
      <c r="I194" s="5" t="n"/>
      <c r="J194" s="4" t="n"/>
    </row>
    <row r="195">
      <c r="A195" s="4" t="n"/>
      <c r="B195" s="4" t="n"/>
      <c r="C195" s="4" t="n"/>
      <c r="D195" s="4" t="n"/>
      <c r="E195" s="4" t="n"/>
      <c r="F195" s="4">
        <f>IF(D195="", "", (IF(D195="Low",1,IF(D195="Medium",2,IF(D195="High",3,0)))) * (IF(E195="Low",1,IF(E195="Medium",2,IF(E195="High",3,0)))))</f>
        <v/>
      </c>
      <c r="G195" s="4" t="n"/>
      <c r="H195" s="4" t="n"/>
      <c r="I195" s="5" t="n"/>
      <c r="J195" s="4" t="n"/>
    </row>
    <row r="196">
      <c r="A196" s="4" t="n"/>
      <c r="B196" s="4" t="n"/>
      <c r="C196" s="4" t="n"/>
      <c r="D196" s="4" t="n"/>
      <c r="E196" s="4" t="n"/>
      <c r="F196" s="4">
        <f>IF(D196="", "", (IF(D196="Low",1,IF(D196="Medium",2,IF(D196="High",3,0)))) * (IF(E196="Low",1,IF(E196="Medium",2,IF(E196="High",3,0)))))</f>
        <v/>
      </c>
      <c r="G196" s="4" t="n"/>
      <c r="H196" s="4" t="n"/>
      <c r="I196" s="5" t="n"/>
      <c r="J196" s="4" t="n"/>
    </row>
    <row r="197">
      <c r="A197" s="4" t="n"/>
      <c r="B197" s="4" t="n"/>
      <c r="C197" s="4" t="n"/>
      <c r="D197" s="4" t="n"/>
      <c r="E197" s="4" t="n"/>
      <c r="F197" s="4">
        <f>IF(D197="", "", (IF(D197="Low",1,IF(D197="Medium",2,IF(D197="High",3,0)))) * (IF(E197="Low",1,IF(E197="Medium",2,IF(E197="High",3,0)))))</f>
        <v/>
      </c>
      <c r="G197" s="4" t="n"/>
      <c r="H197" s="4" t="n"/>
      <c r="I197" s="5" t="n"/>
      <c r="J197" s="4" t="n"/>
    </row>
    <row r="198">
      <c r="A198" s="4" t="n"/>
      <c r="B198" s="4" t="n"/>
      <c r="C198" s="4" t="n"/>
      <c r="D198" s="4" t="n"/>
      <c r="E198" s="4" t="n"/>
      <c r="F198" s="4">
        <f>IF(D198="", "", (IF(D198="Low",1,IF(D198="Medium",2,IF(D198="High",3,0)))) * (IF(E198="Low",1,IF(E198="Medium",2,IF(E198="High",3,0)))))</f>
        <v/>
      </c>
      <c r="G198" s="4" t="n"/>
      <c r="H198" s="4" t="n"/>
      <c r="I198" s="5" t="n"/>
      <c r="J198" s="4" t="n"/>
    </row>
    <row r="199">
      <c r="A199" s="4" t="n"/>
      <c r="B199" s="4" t="n"/>
      <c r="C199" s="4" t="n"/>
      <c r="D199" s="4" t="n"/>
      <c r="E199" s="4" t="n"/>
      <c r="F199" s="4">
        <f>IF(D199="", "", (IF(D199="Low",1,IF(D199="Medium",2,IF(D199="High",3,0)))) * (IF(E199="Low",1,IF(E199="Medium",2,IF(E199="High",3,0)))))</f>
        <v/>
      </c>
      <c r="G199" s="4" t="n"/>
      <c r="H199" s="4" t="n"/>
      <c r="I199" s="5" t="n"/>
      <c r="J199" s="4" t="n"/>
    </row>
    <row r="200">
      <c r="A200" s="4" t="n"/>
      <c r="B200" s="4" t="n"/>
      <c r="C200" s="4" t="n"/>
      <c r="D200" s="4" t="n"/>
      <c r="E200" s="4" t="n"/>
      <c r="F200" s="4">
        <f>IF(D200="", "", (IF(D200="Low",1,IF(D200="Medium",2,IF(D200="High",3,0)))) * (IF(E200="Low",1,IF(E200="Medium",2,IF(E200="High",3,0)))))</f>
        <v/>
      </c>
      <c r="G200" s="4" t="n"/>
      <c r="H200" s="4" t="n"/>
      <c r="I200" s="5" t="n"/>
      <c r="J200" s="4" t="n"/>
    </row>
    <row r="201">
      <c r="A201" s="4" t="n"/>
      <c r="B201" s="4" t="n"/>
      <c r="C201" s="4" t="n"/>
      <c r="D201" s="4" t="n"/>
      <c r="E201" s="4" t="n"/>
      <c r="F201" s="4">
        <f>IF(D201="", "", (IF(D201="Low",1,IF(D201="Medium",2,IF(D201="High",3,0)))) * (IF(E201="Low",1,IF(E201="Medium",2,IF(E201="High",3,0)))))</f>
        <v/>
      </c>
      <c r="G201" s="4" t="n"/>
      <c r="H201" s="4" t="n"/>
      <c r="I201" s="5" t="n"/>
      <c r="J201" s="4" t="n"/>
    </row>
    <row r="202">
      <c r="A202" s="4" t="n"/>
      <c r="B202" s="4" t="n"/>
      <c r="C202" s="4" t="n"/>
      <c r="D202" s="4" t="n"/>
      <c r="E202" s="4" t="n"/>
      <c r="F202" s="4">
        <f>IF(D202="", "", (IF(D202="Low",1,IF(D202="Medium",2,IF(D202="High",3,0)))) * (IF(E202="Low",1,IF(E202="Medium",2,IF(E202="High",3,0)))))</f>
        <v/>
      </c>
      <c r="G202" s="4" t="n"/>
      <c r="H202" s="4" t="n"/>
      <c r="I202" s="5" t="n"/>
      <c r="J202" s="4" t="n"/>
    </row>
    <row r="203">
      <c r="A203" s="4" t="n"/>
      <c r="B203" s="4" t="n"/>
      <c r="C203" s="4" t="n"/>
      <c r="D203" s="4" t="n"/>
      <c r="E203" s="4" t="n"/>
      <c r="F203" s="4">
        <f>IF(D203="", "", (IF(D203="Low",1,IF(D203="Medium",2,IF(D203="High",3,0)))) * (IF(E203="Low",1,IF(E203="Medium",2,IF(E203="High",3,0)))))</f>
        <v/>
      </c>
      <c r="G203" s="4" t="n"/>
      <c r="H203" s="4" t="n"/>
      <c r="I203" s="5" t="n"/>
      <c r="J203" s="4" t="n"/>
    </row>
    <row r="204" ht="15" customHeight="1"/>
  </sheetData>
  <dataValidations count="3">
    <dataValidation sqref="C2:C203" showDropDown="0" showInputMessage="0" showErrorMessage="0" allowBlank="1" type="list">
      <formula1>"Risk,Issue"</formula1>
    </dataValidation>
    <dataValidation sqref="D2:E203" showDropDown="0" showInputMessage="0" showErrorMessage="0" allowBlank="1" type="list">
      <formula1>"Low,Medium,High"</formula1>
    </dataValidation>
    <dataValidation sqref="J2:J203" showDropDown="0" showInputMessage="0" showErrorMessage="0" allowBlank="1" type="list">
      <formula1>"Open,In Progress,Closed"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tabSelected="1" workbookViewId="0">
      <pane ySplit="1" topLeftCell="A2" activePane="bottomLeft" state="frozen"/>
      <selection pane="bottomLeft" activeCell="B5" sqref="B5"/>
    </sheetView>
  </sheetViews>
  <sheetFormatPr baseColWidth="8" defaultRowHeight="14.45"/>
  <cols>
    <col width="40" customWidth="1" min="1" max="1"/>
    <col width="35" customWidth="1" min="2" max="2"/>
  </cols>
  <sheetData>
    <row r="1">
      <c r="A1" s="3" t="inlineStr">
        <is>
          <t>Metric</t>
        </is>
      </c>
      <c r="B1" s="3">
        <f>COUNTA(Tasks!A2:A500)</f>
        <v/>
      </c>
    </row>
    <row r="2" ht="15" customHeight="1">
      <c r="A2" s="2" t="inlineStr">
        <is>
          <t>Total Tasks</t>
        </is>
      </c>
      <c r="B2" s="2">
        <f>COUNTIFS(Tasks!J2:J500,"Completed")</f>
        <v/>
      </c>
    </row>
    <row r="3" ht="15" customHeight="1">
      <c r="A3" s="2" t="inlineStr">
        <is>
          <t>Completed Tasks</t>
        </is>
      </c>
      <c r="B3" s="2">
        <f>COUNTIFS(Tasks!J2:J500,"In Progress")</f>
        <v/>
      </c>
    </row>
    <row r="4" ht="15" customHeight="1">
      <c r="A4" s="2" t="inlineStr">
        <is>
          <t>In Progress Tasks</t>
        </is>
      </c>
      <c r="B4" s="2">
        <f>COUNTIFS(Tasks!J2:J500,"Not Started")</f>
        <v/>
      </c>
    </row>
    <row r="5" ht="15" customHeight="1">
      <c r="A5" s="2" t="inlineStr">
        <is>
          <t>Not Started Tasks</t>
        </is>
      </c>
      <c r="B5" s="2">
        <f>COUNTIFS(Tasks!J2:J500,"On Hold")</f>
        <v/>
      </c>
    </row>
    <row r="6" ht="15" customHeight="1">
      <c r="A6" s="2" t="inlineStr">
        <is>
          <t>On Hold Tasks</t>
        </is>
      </c>
      <c r="B6" s="2">
        <f>COUNTIFS(Tasks!J2:J500,"&lt;&gt;Completed",Tasks!H2:H500,"&lt;"&amp;TODAY())</f>
        <v/>
      </c>
    </row>
    <row r="7" ht="15" customHeight="1">
      <c r="A7" s="2" t="inlineStr">
        <is>
          <t>Overdue Tasks</t>
        </is>
      </c>
      <c r="B7" s="6">
        <f>IF(B1=0,0,SUM(Tasks!K2:K500)/B1/100)</f>
        <v/>
      </c>
    </row>
    <row r="8">
      <c r="A8" s="2" t="inlineStr">
        <is>
          <t>% Completion (Weighted by % Complete)</t>
        </is>
      </c>
      <c r="B8" s="2">
        <f>IFERROR(SUMPRODUCT(#REF!, --(#REF!&lt;&gt;"")) / COUNTIF(#REF!,"&gt;=0"), 0)</f>
        <v/>
      </c>
    </row>
  </sheetData>
  <conditionalFormatting sqref="B6">
    <cfRule type="cellIs" priority="1" operator="greaterThan" dxfId="0" stopIfTrue="1">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0"/>
  <sheetViews>
    <sheetView workbookViewId="0">
      <selection activeCell="D7" sqref="D7"/>
    </sheetView>
  </sheetViews>
  <sheetFormatPr baseColWidth="8" defaultRowHeight="15"/>
  <cols>
    <col width="13" customWidth="1" min="2" max="2"/>
    <col width="17.7109375" customWidth="1" min="3" max="3"/>
    <col width="11.42578125" customWidth="1" min="4" max="4"/>
    <col width="21" customWidth="1" min="5" max="5"/>
    <col width="24.28515625" customWidth="1" min="6" max="6"/>
  </cols>
  <sheetData>
    <row r="1" customFormat="1" s="9">
      <c r="A1" s="10" t="inlineStr">
        <is>
          <t>Date</t>
        </is>
      </c>
      <c r="B1" s="10" t="inlineStr">
        <is>
          <t xml:space="preserve">Task </t>
        </is>
      </c>
      <c r="C1" s="10" t="inlineStr">
        <is>
          <t>Task Details</t>
        </is>
      </c>
      <c r="D1" s="10" t="inlineStr">
        <is>
          <t>Who</t>
        </is>
      </c>
      <c r="E1" s="10" t="inlineStr">
        <is>
          <t>Resolved (Yes/No)</t>
        </is>
      </c>
      <c r="F1" s="10" t="inlineStr">
        <is>
          <t>Resolved By?</t>
        </is>
      </c>
      <c r="G1" s="10" t="n"/>
    </row>
    <row r="2" customFormat="1" s="9">
      <c r="A2" s="10" t="n"/>
      <c r="B2" s="10" t="n"/>
      <c r="C2" s="10" t="n"/>
      <c r="D2" s="10" t="n"/>
      <c r="E2" s="10" t="n"/>
      <c r="F2" s="10" t="n"/>
      <c r="G2" s="10" t="n"/>
    </row>
    <row r="3" customFormat="1" s="9">
      <c r="A3" s="10" t="n"/>
      <c r="B3" s="10" t="n"/>
      <c r="C3" s="10" t="n"/>
      <c r="D3" s="10" t="n"/>
      <c r="E3" s="10" t="n"/>
      <c r="F3" s="10" t="n"/>
      <c r="G3" s="10" t="n"/>
    </row>
    <row r="4" customFormat="1" s="9">
      <c r="A4" s="10" t="n"/>
      <c r="B4" s="10" t="n"/>
      <c r="C4" s="10" t="n"/>
      <c r="D4" s="10" t="n"/>
      <c r="E4" s="10" t="n"/>
      <c r="F4" s="10" t="n"/>
      <c r="G4" s="10" t="n"/>
    </row>
    <row r="5" customFormat="1" s="9">
      <c r="A5" s="10" t="n"/>
      <c r="B5" s="10" t="n"/>
      <c r="C5" s="10" t="n"/>
      <c r="D5" s="10" t="n"/>
      <c r="E5" s="10" t="n"/>
      <c r="F5" s="10" t="n"/>
      <c r="G5" s="10" t="n"/>
    </row>
    <row r="6" customFormat="1" s="9">
      <c r="A6" s="10" t="n"/>
      <c r="B6" s="10" t="n"/>
      <c r="C6" s="10" t="n"/>
      <c r="D6" s="10" t="n"/>
      <c r="E6" s="10" t="n"/>
      <c r="F6" s="10" t="n"/>
      <c r="G6" s="10" t="n"/>
    </row>
    <row r="7" customFormat="1" s="9">
      <c r="A7" s="10" t="n"/>
      <c r="B7" s="10" t="n"/>
      <c r="C7" s="10" t="n"/>
      <c r="D7" s="10" t="n"/>
      <c r="E7" s="10" t="n"/>
      <c r="F7" s="10" t="n"/>
      <c r="G7" s="10" t="n"/>
    </row>
    <row r="8" customFormat="1" s="9">
      <c r="A8" s="10" t="n"/>
      <c r="B8" s="10" t="n"/>
      <c r="C8" s="10" t="n"/>
      <c r="D8" s="10" t="n"/>
      <c r="E8" s="10" t="n"/>
      <c r="F8" s="10" t="n"/>
      <c r="G8" s="10" t="n"/>
    </row>
    <row r="9" customFormat="1" s="9">
      <c r="A9" s="10" t="n"/>
      <c r="B9" s="10" t="n"/>
      <c r="C9" s="10" t="n"/>
      <c r="D9" s="10" t="n"/>
      <c r="E9" s="10" t="n"/>
      <c r="F9" s="10" t="n"/>
      <c r="G9" s="10" t="n"/>
    </row>
    <row r="10" customFormat="1" s="9">
      <c r="A10" s="10" t="n"/>
      <c r="B10" s="10" t="n"/>
      <c r="C10" s="10" t="n"/>
      <c r="D10" s="10" t="n"/>
      <c r="E10" s="10" t="n"/>
      <c r="F10" s="10" t="n"/>
      <c r="G10" s="10" t="n"/>
    </row>
    <row r="11" customFormat="1" s="9">
      <c r="A11" s="10" t="n"/>
      <c r="B11" s="10" t="n"/>
      <c r="C11" s="10" t="n"/>
      <c r="D11" s="10" t="n"/>
      <c r="E11" s="10" t="n"/>
      <c r="F11" s="10" t="n"/>
      <c r="G11" s="10" t="n"/>
    </row>
    <row r="12" customFormat="1" s="9">
      <c r="A12" s="10" t="n"/>
      <c r="B12" s="10" t="n"/>
      <c r="C12" s="10" t="n"/>
      <c r="D12" s="10" t="n"/>
      <c r="E12" s="10" t="n"/>
      <c r="F12" s="10" t="n"/>
      <c r="G12" s="10" t="n"/>
    </row>
    <row r="13" customFormat="1" s="9">
      <c r="A13" s="10" t="n"/>
      <c r="B13" s="10" t="n"/>
      <c r="C13" s="10" t="n"/>
      <c r="D13" s="10" t="n"/>
      <c r="E13" s="10" t="n"/>
      <c r="F13" s="10" t="n"/>
      <c r="G13" s="10" t="n"/>
    </row>
    <row r="14" customFormat="1" s="9">
      <c r="A14" s="10" t="n"/>
      <c r="B14" s="10" t="n"/>
      <c r="C14" s="10" t="n"/>
      <c r="D14" s="10" t="n"/>
      <c r="E14" s="10" t="n"/>
      <c r="F14" s="10" t="n"/>
      <c r="G14" s="10" t="n"/>
    </row>
    <row r="15" customFormat="1" s="9">
      <c r="A15" s="10" t="n"/>
      <c r="B15" s="10" t="n"/>
      <c r="C15" s="10" t="n"/>
      <c r="D15" s="10" t="n"/>
      <c r="E15" s="10" t="n"/>
      <c r="F15" s="10" t="n"/>
      <c r="G15" s="10" t="n"/>
    </row>
    <row r="16" customFormat="1" s="9">
      <c r="A16" s="10" t="n"/>
      <c r="B16" s="10" t="n"/>
      <c r="C16" s="10" t="n"/>
      <c r="D16" s="10" t="n"/>
      <c r="E16" s="10" t="n"/>
      <c r="F16" s="10" t="n"/>
      <c r="G16" s="10" t="n"/>
    </row>
    <row r="17" customFormat="1" s="9">
      <c r="A17" s="10" t="n"/>
      <c r="B17" s="10" t="n"/>
      <c r="C17" s="10" t="n"/>
      <c r="D17" s="10" t="n"/>
      <c r="E17" s="10" t="n"/>
      <c r="F17" s="10" t="n"/>
      <c r="G17" s="10" t="n"/>
    </row>
    <row r="18" customFormat="1" s="9">
      <c r="A18" s="10" t="n"/>
      <c r="B18" s="10" t="n"/>
      <c r="C18" s="10" t="n"/>
      <c r="D18" s="10" t="n"/>
      <c r="E18" s="10" t="n"/>
      <c r="F18" s="10" t="n"/>
      <c r="G18" s="10" t="n"/>
    </row>
    <row r="19" customFormat="1" s="9">
      <c r="A19" s="10" t="n"/>
      <c r="B19" s="10" t="n"/>
      <c r="C19" s="10" t="n"/>
      <c r="D19" s="10" t="n"/>
      <c r="E19" s="10" t="n"/>
      <c r="F19" s="10" t="n"/>
      <c r="G19" s="10" t="n"/>
    </row>
    <row r="20">
      <c r="A20" s="8" t="n"/>
      <c r="B20" s="8" t="n"/>
      <c r="C20" s="8" t="n"/>
      <c r="D20" s="8" t="n"/>
      <c r="E20" s="8" t="n"/>
      <c r="F20" s="8" t="n"/>
      <c r="G20" s="8" t="n"/>
    </row>
    <row r="21">
      <c r="A21" s="8" t="n"/>
      <c r="B21" s="8" t="n"/>
      <c r="C21" s="8" t="n"/>
      <c r="D21" s="8" t="n"/>
      <c r="E21" s="8" t="n"/>
      <c r="F21" s="8" t="n"/>
      <c r="G21" s="8" t="n"/>
    </row>
    <row r="22">
      <c r="A22" s="8" t="n"/>
      <c r="B22" s="8" t="n"/>
      <c r="C22" s="8" t="n"/>
      <c r="D22" s="8" t="n"/>
      <c r="E22" s="8" t="n"/>
      <c r="F22" s="8" t="n"/>
      <c r="G22" s="8" t="n"/>
    </row>
    <row r="23">
      <c r="A23" s="8" t="n"/>
      <c r="B23" s="8" t="n"/>
      <c r="C23" s="8" t="n"/>
      <c r="D23" s="8" t="n"/>
      <c r="E23" s="8" t="n"/>
      <c r="F23" s="8" t="n"/>
      <c r="G23" s="8" t="n"/>
    </row>
    <row r="24">
      <c r="A24" s="8" t="n"/>
      <c r="B24" s="8" t="n"/>
      <c r="C24" s="8" t="n"/>
      <c r="D24" s="8" t="n"/>
      <c r="E24" s="8" t="n"/>
      <c r="F24" s="8" t="n"/>
      <c r="G24" s="8" t="n"/>
    </row>
    <row r="25">
      <c r="A25" s="8" t="n"/>
      <c r="B25" s="8" t="n"/>
      <c r="C25" s="8" t="n"/>
      <c r="D25" s="8" t="n"/>
      <c r="E25" s="8" t="n"/>
      <c r="F25" s="8" t="n"/>
      <c r="G25" s="8" t="n"/>
    </row>
    <row r="26">
      <c r="A26" s="8" t="n"/>
      <c r="B26" s="8" t="n"/>
      <c r="C26" s="8" t="n"/>
      <c r="D26" s="8" t="n"/>
      <c r="E26" s="8" t="n"/>
      <c r="F26" s="8" t="n"/>
      <c r="G26" s="8" t="n"/>
    </row>
    <row r="27">
      <c r="A27" s="8" t="n"/>
      <c r="B27" s="8" t="n"/>
      <c r="C27" s="8" t="n"/>
      <c r="D27" s="8" t="n"/>
      <c r="E27" s="8" t="n"/>
      <c r="F27" s="8" t="n"/>
      <c r="G27" s="8" t="n"/>
    </row>
    <row r="28">
      <c r="A28" s="8" t="n"/>
      <c r="B28" s="8" t="n"/>
      <c r="C28" s="8" t="n"/>
      <c r="D28" s="8" t="n"/>
      <c r="E28" s="8" t="n"/>
      <c r="F28" s="8" t="n"/>
      <c r="G28" s="8" t="n"/>
    </row>
    <row r="29">
      <c r="A29" s="8" t="n"/>
      <c r="B29" s="8" t="n"/>
      <c r="C29" s="8" t="n"/>
      <c r="D29" s="8" t="n"/>
      <c r="E29" s="8" t="n"/>
      <c r="F29" s="8" t="n"/>
      <c r="G29" s="8" t="n"/>
    </row>
    <row r="30">
      <c r="A30" s="8" t="n"/>
      <c r="B30" s="8" t="n"/>
      <c r="C30" s="8" t="n"/>
      <c r="D30" s="8" t="n"/>
      <c r="E30" s="8" t="n"/>
      <c r="F30" s="8" t="n"/>
      <c r="G30" s="8" t="n"/>
    </row>
    <row r="31">
      <c r="A31" s="8" t="n"/>
      <c r="B31" s="8" t="n"/>
      <c r="C31" s="8" t="n"/>
      <c r="D31" s="8" t="n"/>
      <c r="E31" s="8" t="n"/>
      <c r="F31" s="8" t="n"/>
      <c r="G31" s="8" t="n"/>
    </row>
    <row r="32">
      <c r="A32" s="8" t="n"/>
      <c r="B32" s="8" t="n"/>
      <c r="C32" s="8" t="n"/>
      <c r="D32" s="8" t="n"/>
      <c r="E32" s="8" t="n"/>
      <c r="F32" s="8" t="n"/>
      <c r="G32" s="8" t="n"/>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39">
      <c r="A39" s="8" t="n"/>
      <c r="B39" s="8" t="n"/>
      <c r="C39" s="8" t="n"/>
      <c r="D39" s="8" t="n"/>
      <c r="E39" s="8" t="n"/>
      <c r="F39" s="8" t="n"/>
      <c r="G39" s="8" t="n"/>
    </row>
    <row r="40">
      <c r="A40" s="8" t="n"/>
      <c r="B40" s="8" t="n"/>
      <c r="C40" s="8" t="n"/>
      <c r="D40" s="8" t="n"/>
      <c r="E40" s="8" t="n"/>
      <c r="F40" s="8" t="n"/>
      <c r="G40" s="8"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7"/>
  <sheetViews>
    <sheetView workbookViewId="0">
      <selection activeCell="B5" sqref="B5"/>
    </sheetView>
  </sheetViews>
  <sheetFormatPr baseColWidth="8" defaultRowHeight="15"/>
  <sheetData>
    <row r="1">
      <c r="A1" t="inlineStr">
        <is>
          <t xml:space="preserve">Date </t>
        </is>
      </c>
      <c r="B1" t="inlineStr">
        <is>
          <t>Task</t>
        </is>
      </c>
      <c r="C1" t="inlineStr">
        <is>
          <t>status</t>
        </is>
      </c>
    </row>
    <row r="2">
      <c r="A2" s="15" t="n">
        <v>46027</v>
      </c>
      <c r="B2" t="inlineStr">
        <is>
          <t>Update Target dates</t>
        </is>
      </c>
    </row>
    <row r="3">
      <c r="B3" t="inlineStr">
        <is>
          <t>start business rules</t>
        </is>
      </c>
    </row>
    <row r="4">
      <c r="B4" t="inlineStr">
        <is>
          <t>Update Task Map- Datamanager,Central Monitor</t>
        </is>
      </c>
    </row>
    <row r="5">
      <c r="B5" s="9" t="inlineStr">
        <is>
          <t>Effort Tracker</t>
        </is>
      </c>
    </row>
    <row r="6">
      <c r="B6" t="inlineStr">
        <is>
          <t>Daily Task Tracker-</t>
        </is>
      </c>
    </row>
    <row r="7">
      <c r="B7" t="inlineStr">
        <is>
          <t>Update Task Start date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F8"/>
  <sheetViews>
    <sheetView workbookViewId="0">
      <selection activeCell="A4" sqref="A4"/>
    </sheetView>
  </sheetViews>
  <sheetFormatPr baseColWidth="8" defaultRowHeight="15"/>
  <cols>
    <col width="17.7109375" bestFit="1" customWidth="1" min="1" max="1"/>
    <col width="10.85546875" bestFit="1" customWidth="1" min="2" max="2"/>
    <col width="11" bestFit="1" customWidth="1" min="3" max="3"/>
    <col width="11.42578125" bestFit="1" customWidth="1" min="4" max="4"/>
    <col width="7.42578125" bestFit="1" customWidth="1" min="5" max="5"/>
    <col width="11.7109375" bestFit="1" customWidth="1" min="6" max="7"/>
    <col width="16.42578125" bestFit="1" customWidth="1" min="8" max="8"/>
    <col width="28" bestFit="1" customWidth="1" min="9" max="9"/>
    <col width="31" bestFit="1" customWidth="1" min="10" max="10"/>
    <col width="34.7109375" bestFit="1" customWidth="1" min="11" max="11"/>
    <col width="33.5703125" bestFit="1" customWidth="1" min="12" max="12"/>
    <col width="30.28515625" bestFit="1" customWidth="1" min="13" max="13"/>
    <col width="22.5703125" bestFit="1" customWidth="1" min="14" max="14"/>
    <col width="16.140625" bestFit="1" customWidth="1" min="15" max="15"/>
    <col width="30.42578125" bestFit="1" customWidth="1" min="16" max="16"/>
    <col width="24.42578125" bestFit="1" customWidth="1" min="17" max="17"/>
    <col width="36.5703125" bestFit="1" customWidth="1" min="18" max="18"/>
    <col width="16.5703125" bestFit="1" customWidth="1" min="19" max="19"/>
    <col width="20" bestFit="1" customWidth="1" min="20" max="20"/>
    <col width="24.5703125" bestFit="1" customWidth="1" min="21" max="21"/>
    <col width="28.7109375" bestFit="1" customWidth="1" min="22" max="22"/>
    <col width="37.7109375" bestFit="1" customWidth="1" min="23" max="23"/>
    <col width="23.42578125" bestFit="1" customWidth="1" min="24" max="24"/>
    <col width="20.42578125" bestFit="1" customWidth="1" min="25" max="25"/>
    <col width="20.85546875" bestFit="1" customWidth="1" min="26" max="26"/>
    <col width="10" bestFit="1" customWidth="1" min="27" max="27"/>
    <col width="19.7109375" bestFit="1" customWidth="1" min="28" max="28"/>
    <col width="20.28515625" bestFit="1" customWidth="1" min="29" max="29"/>
    <col width="20.7109375" bestFit="1" customWidth="1" min="30" max="30"/>
    <col width="23.28515625" bestFit="1" customWidth="1" min="31" max="31"/>
    <col width="27" bestFit="1" customWidth="1" min="32" max="32"/>
    <col width="16.7109375" bestFit="1" customWidth="1" min="33" max="33"/>
    <col width="9.28515625" bestFit="1" customWidth="1" min="34" max="34"/>
    <col width="12.42578125" bestFit="1" customWidth="1" min="35" max="35"/>
    <col width="11.7109375" bestFit="1" customWidth="1" min="36" max="36"/>
  </cols>
  <sheetData>
    <row r="2">
      <c r="A2" s="34" t="inlineStr">
        <is>
          <t>Count of Status</t>
        </is>
      </c>
      <c r="B2" s="34" t="inlineStr">
        <is>
          <t>Status</t>
        </is>
      </c>
    </row>
    <row r="3">
      <c r="A3" s="34" t="inlineStr">
        <is>
          <t>Tasks Category</t>
        </is>
      </c>
      <c r="B3" t="inlineStr">
        <is>
          <t>Completed</t>
        </is>
      </c>
      <c r="C3" t="inlineStr">
        <is>
          <t>In Progress</t>
        </is>
      </c>
      <c r="D3" t="inlineStr">
        <is>
          <t>Not Started</t>
        </is>
      </c>
      <c r="E3" t="inlineStr">
        <is>
          <t>(blank)</t>
        </is>
      </c>
      <c r="F3" t="inlineStr">
        <is>
          <t>Grand Total</t>
        </is>
      </c>
    </row>
    <row r="4">
      <c r="A4" t="inlineStr">
        <is>
          <t>Backend</t>
        </is>
      </c>
      <c r="C4" t="n">
        <v>1</v>
      </c>
      <c r="D4" t="n">
        <v>17</v>
      </c>
      <c r="F4" t="n">
        <v>18</v>
      </c>
    </row>
    <row r="5">
      <c r="A5" t="inlineStr">
        <is>
          <t>Database</t>
        </is>
      </c>
      <c r="B5" t="n">
        <v>2</v>
      </c>
      <c r="C5" t="n">
        <v>4</v>
      </c>
      <c r="F5" t="n">
        <v>6</v>
      </c>
    </row>
    <row r="6">
      <c r="A6" t="inlineStr">
        <is>
          <t>Frontend</t>
        </is>
      </c>
      <c r="B6" t="n">
        <v>2</v>
      </c>
      <c r="C6" t="n">
        <v>3</v>
      </c>
      <c r="F6" t="n">
        <v>5</v>
      </c>
    </row>
    <row r="7">
      <c r="A7" t="inlineStr">
        <is>
          <t>(blank)</t>
        </is>
      </c>
    </row>
    <row r="8">
      <c r="A8" t="inlineStr">
        <is>
          <t>Grand Total</t>
        </is>
      </c>
      <c r="B8" t="n">
        <v>4</v>
      </c>
      <c r="C8" t="n">
        <v>8</v>
      </c>
      <c r="D8" t="n">
        <v>17</v>
      </c>
      <c r="F8" t="n">
        <v>29</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4"/>
  <sheetViews>
    <sheetView workbookViewId="0">
      <selection activeCell="J12" sqref="J12"/>
    </sheetView>
  </sheetViews>
  <sheetFormatPr baseColWidth="8" defaultRowHeight="15"/>
  <sheetData>
    <row r="1">
      <c r="A1" s="35" t="inlineStr">
        <is>
          <t>Tasks Category</t>
        </is>
      </c>
      <c r="B1" s="35" t="inlineStr">
        <is>
          <t>Completed</t>
        </is>
      </c>
      <c r="C1" s="35" t="inlineStr">
        <is>
          <t>In Progress</t>
        </is>
      </c>
      <c r="D1" s="35" t="inlineStr">
        <is>
          <t>Not Started</t>
        </is>
      </c>
    </row>
    <row r="2">
      <c r="A2" t="inlineStr">
        <is>
          <t>Backend</t>
        </is>
      </c>
      <c r="C2" t="n">
        <v>1</v>
      </c>
      <c r="D2" t="n">
        <v>17</v>
      </c>
    </row>
    <row r="3">
      <c r="A3" t="inlineStr">
        <is>
          <t>Database</t>
        </is>
      </c>
      <c r="B3" t="n">
        <v>2</v>
      </c>
      <c r="C3" t="n">
        <v>4</v>
      </c>
    </row>
    <row r="4">
      <c r="A4" t="inlineStr">
        <is>
          <t>Frontend</t>
        </is>
      </c>
      <c r="B4" t="n">
        <v>2</v>
      </c>
      <c r="C4" t="n">
        <v>3</v>
      </c>
    </row>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2:B12"/>
  <sheetViews>
    <sheetView topLeftCell="A2" workbookViewId="0">
      <selection activeCell="B9" sqref="B9"/>
    </sheetView>
  </sheetViews>
  <sheetFormatPr baseColWidth="8" defaultRowHeight="15"/>
  <cols>
    <col width="16.85546875" bestFit="1" customWidth="1" min="1" max="1"/>
    <col width="20.140625" bestFit="1" customWidth="1" min="2" max="2"/>
  </cols>
  <sheetData>
    <row r="2">
      <c r="A2" s="34" t="inlineStr">
        <is>
          <t>Assigned To</t>
        </is>
      </c>
      <c r="B2" t="inlineStr">
        <is>
          <t>Count of Assigned To</t>
        </is>
      </c>
    </row>
    <row r="3">
      <c r="A3" t="inlineStr">
        <is>
          <t>Ritesh</t>
        </is>
      </c>
      <c r="B3" t="n">
        <v>8</v>
      </c>
    </row>
    <row r="4">
      <c r="A4" t="inlineStr">
        <is>
          <t>Ruthra/Hanif</t>
        </is>
      </c>
      <c r="B4" t="n">
        <v>6</v>
      </c>
    </row>
    <row r="5">
      <c r="A5" t="inlineStr">
        <is>
          <t>Arthi/Tejasree</t>
        </is>
      </c>
      <c r="B5" t="n">
        <v>5</v>
      </c>
    </row>
    <row r="6">
      <c r="A6" t="inlineStr">
        <is>
          <t>Priyeshwer</t>
        </is>
      </c>
      <c r="B6" t="n">
        <v>4</v>
      </c>
    </row>
    <row r="7">
      <c r="A7" t="inlineStr">
        <is>
          <t>Deepta</t>
        </is>
      </c>
      <c r="B7" t="n">
        <v>2</v>
      </c>
    </row>
    <row r="8">
      <c r="A8" t="inlineStr">
        <is>
          <t>Ruthra</t>
        </is>
      </c>
      <c r="B8" t="n">
        <v>1</v>
      </c>
    </row>
    <row r="9">
      <c r="A9" t="inlineStr">
        <is>
          <t>Aarthi</t>
        </is>
      </c>
      <c r="B9" t="n">
        <v>1</v>
      </c>
    </row>
    <row r="10">
      <c r="A10" t="inlineStr">
        <is>
          <t>Deepta/Tejashree</t>
        </is>
      </c>
      <c r="B10" t="n">
        <v>1</v>
      </c>
    </row>
    <row r="11">
      <c r="A11" t="inlineStr">
        <is>
          <t>Hanif</t>
        </is>
      </c>
      <c r="B11" t="n">
        <v>1</v>
      </c>
    </row>
    <row r="12">
      <c r="A12" t="inlineStr">
        <is>
          <t>Grand Total</t>
        </is>
      </c>
      <c r="B12" t="n">
        <v>29</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2:E13"/>
  <sheetViews>
    <sheetView topLeftCell="A2" workbookViewId="0">
      <selection activeCell="C19" sqref="C19"/>
    </sheetView>
  </sheetViews>
  <sheetFormatPr baseColWidth="8" defaultRowHeight="15"/>
  <cols>
    <col width="20.140625" bestFit="1" customWidth="1" min="1" max="1"/>
    <col width="11.42578125" bestFit="1" customWidth="1" min="2" max="2"/>
    <col width="11" bestFit="1" customWidth="1" min="3" max="3"/>
    <col width="10.85546875" bestFit="1" customWidth="1" min="4" max="4"/>
    <col width="11.7109375" bestFit="1" customWidth="1" min="5" max="5"/>
  </cols>
  <sheetData>
    <row r="2">
      <c r="A2" s="34" t="inlineStr">
        <is>
          <t>Count of Assigned To</t>
        </is>
      </c>
      <c r="B2" s="34" t="inlineStr">
        <is>
          <t>Status</t>
        </is>
      </c>
    </row>
    <row r="3">
      <c r="A3" s="34" t="inlineStr">
        <is>
          <t>Assigned To</t>
        </is>
      </c>
      <c r="B3" t="inlineStr">
        <is>
          <t>Not Started</t>
        </is>
      </c>
      <c r="C3" t="inlineStr">
        <is>
          <t>In Progress</t>
        </is>
      </c>
      <c r="D3" t="inlineStr">
        <is>
          <t>Completed</t>
        </is>
      </c>
      <c r="E3" t="inlineStr">
        <is>
          <t>Grand Total</t>
        </is>
      </c>
    </row>
    <row r="4">
      <c r="A4" t="inlineStr">
        <is>
          <t>Ritesh</t>
        </is>
      </c>
      <c r="B4" t="n">
        <v>5</v>
      </c>
      <c r="C4" t="n">
        <v>2</v>
      </c>
      <c r="D4" t="n">
        <v>1</v>
      </c>
      <c r="E4" t="n">
        <v>8</v>
      </c>
    </row>
    <row r="5">
      <c r="A5" t="inlineStr">
        <is>
          <t>Ruthra/Hanif</t>
        </is>
      </c>
      <c r="B5" t="n">
        <v>6</v>
      </c>
      <c r="E5" t="n">
        <v>6</v>
      </c>
    </row>
    <row r="6">
      <c r="A6" t="inlineStr">
        <is>
          <t>Arthi/Tejasree</t>
        </is>
      </c>
      <c r="C6" t="n">
        <v>3</v>
      </c>
      <c r="D6" t="n">
        <v>2</v>
      </c>
      <c r="E6" t="n">
        <v>5</v>
      </c>
    </row>
    <row r="7">
      <c r="A7" t="inlineStr">
        <is>
          <t>Priyeshwer</t>
        </is>
      </c>
      <c r="B7" t="n">
        <v>3</v>
      </c>
      <c r="C7" t="n">
        <v>1</v>
      </c>
      <c r="E7" t="n">
        <v>4</v>
      </c>
    </row>
    <row r="8">
      <c r="A8" t="inlineStr">
        <is>
          <t>Deepta</t>
        </is>
      </c>
      <c r="B8" t="n">
        <v>1</v>
      </c>
      <c r="D8" t="n">
        <v>1</v>
      </c>
      <c r="E8" t="n">
        <v>2</v>
      </c>
    </row>
    <row r="9">
      <c r="A9" t="inlineStr">
        <is>
          <t>Ruthra</t>
        </is>
      </c>
      <c r="C9" t="n">
        <v>1</v>
      </c>
      <c r="E9" t="n">
        <v>1</v>
      </c>
    </row>
    <row r="10">
      <c r="A10" t="inlineStr">
        <is>
          <t>Aarthi</t>
        </is>
      </c>
      <c r="B10" t="n">
        <v>1</v>
      </c>
      <c r="E10" t="n">
        <v>1</v>
      </c>
    </row>
    <row r="11">
      <c r="A11" t="inlineStr">
        <is>
          <t>Deepta/Tejashree</t>
        </is>
      </c>
      <c r="B11" t="n">
        <v>1</v>
      </c>
      <c r="E11" t="n">
        <v>1</v>
      </c>
    </row>
    <row r="12">
      <c r="A12" t="inlineStr">
        <is>
          <t>Hanif</t>
        </is>
      </c>
      <c r="C12" t="n">
        <v>1</v>
      </c>
      <c r="E12" t="n">
        <v>1</v>
      </c>
    </row>
    <row r="13">
      <c r="A13" t="inlineStr">
        <is>
          <t>Grand Total</t>
        </is>
      </c>
      <c r="B13" t="n">
        <v>17</v>
      </c>
      <c r="C13" t="n">
        <v>8</v>
      </c>
      <c r="D13" t="n">
        <v>4</v>
      </c>
      <c r="E13" t="n">
        <v>29</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F18"/>
  <sheetViews>
    <sheetView workbookViewId="0">
      <selection activeCell="G12" sqref="G12"/>
    </sheetView>
  </sheetViews>
  <sheetFormatPr baseColWidth="8" defaultRowHeight="15"/>
  <cols>
    <col width="17.7109375" bestFit="1" customWidth="1" min="1" max="1"/>
    <col width="16.85546875" bestFit="1" customWidth="1" min="2" max="2"/>
    <col width="11.42578125" bestFit="1" customWidth="1" min="3" max="3"/>
    <col width="11" bestFit="1" customWidth="1" min="4" max="4"/>
    <col width="10.85546875" bestFit="1" customWidth="1" min="5" max="5"/>
    <col width="11.7109375" bestFit="1" customWidth="1" min="6" max="6"/>
  </cols>
  <sheetData>
    <row r="2">
      <c r="A2" s="34" t="inlineStr">
        <is>
          <t>Count of Tasks Category</t>
        </is>
      </c>
      <c r="C2" s="34" t="inlineStr">
        <is>
          <t>Status</t>
        </is>
      </c>
    </row>
    <row r="3">
      <c r="A3" s="34" t="inlineStr">
        <is>
          <t>Tasks Category</t>
        </is>
      </c>
      <c r="B3" s="34" t="inlineStr">
        <is>
          <t>Assigned To</t>
        </is>
      </c>
      <c r="C3" t="inlineStr">
        <is>
          <t>Not Started</t>
        </is>
      </c>
      <c r="D3" t="inlineStr">
        <is>
          <t>In Progress</t>
        </is>
      </c>
      <c r="E3" t="inlineStr">
        <is>
          <t>Completed</t>
        </is>
      </c>
      <c r="F3" t="inlineStr">
        <is>
          <t>Grand Total</t>
        </is>
      </c>
    </row>
    <row r="4">
      <c r="A4" t="inlineStr">
        <is>
          <t>Backend</t>
        </is>
      </c>
      <c r="B4" t="inlineStr">
        <is>
          <t>Ruthra/Hanif</t>
        </is>
      </c>
      <c r="C4" t="n">
        <v>6</v>
      </c>
      <c r="F4" t="n">
        <v>6</v>
      </c>
    </row>
    <row r="5">
      <c r="B5" t="inlineStr">
        <is>
          <t>Ritesh</t>
        </is>
      </c>
      <c r="C5" t="n">
        <v>5</v>
      </c>
      <c r="F5" t="n">
        <v>5</v>
      </c>
    </row>
    <row r="6">
      <c r="B6" t="inlineStr">
        <is>
          <t>Priyeshwer</t>
        </is>
      </c>
      <c r="C6" t="n">
        <v>3</v>
      </c>
      <c r="D6" t="n">
        <v>1</v>
      </c>
      <c r="F6" t="n">
        <v>4</v>
      </c>
    </row>
    <row r="7">
      <c r="B7" t="inlineStr">
        <is>
          <t>Deepta</t>
        </is>
      </c>
      <c r="C7" t="n">
        <v>1</v>
      </c>
      <c r="F7" t="n">
        <v>1</v>
      </c>
    </row>
    <row r="8">
      <c r="B8" t="inlineStr">
        <is>
          <t>Aarthi</t>
        </is>
      </c>
      <c r="C8" t="n">
        <v>1</v>
      </c>
      <c r="F8" t="n">
        <v>1</v>
      </c>
    </row>
    <row r="9">
      <c r="B9" t="inlineStr">
        <is>
          <t>Deepta/Tejashree</t>
        </is>
      </c>
      <c r="C9" t="n">
        <v>1</v>
      </c>
      <c r="F9" t="n">
        <v>1</v>
      </c>
    </row>
    <row r="10">
      <c r="A10" t="inlineStr">
        <is>
          <t>Backend Total</t>
        </is>
      </c>
      <c r="C10" t="n">
        <v>17</v>
      </c>
      <c r="D10" t="n">
        <v>1</v>
      </c>
      <c r="F10" t="n">
        <v>18</v>
      </c>
    </row>
    <row r="11">
      <c r="A11" t="inlineStr">
        <is>
          <t>Database</t>
        </is>
      </c>
      <c r="B11" t="inlineStr">
        <is>
          <t>Ritesh</t>
        </is>
      </c>
      <c r="D11" t="n">
        <v>2</v>
      </c>
      <c r="E11" t="n">
        <v>1</v>
      </c>
      <c r="F11" t="n">
        <v>3</v>
      </c>
    </row>
    <row r="12">
      <c r="B12" t="inlineStr">
        <is>
          <t>Ruthra</t>
        </is>
      </c>
      <c r="D12" t="n">
        <v>1</v>
      </c>
      <c r="F12" t="n">
        <v>1</v>
      </c>
    </row>
    <row r="13">
      <c r="B13" t="inlineStr">
        <is>
          <t>Deepta</t>
        </is>
      </c>
      <c r="E13" t="n">
        <v>1</v>
      </c>
      <c r="F13" t="n">
        <v>1</v>
      </c>
    </row>
    <row r="14">
      <c r="B14" t="inlineStr">
        <is>
          <t>Hanif</t>
        </is>
      </c>
      <c r="D14" t="n">
        <v>1</v>
      </c>
      <c r="F14" t="n">
        <v>1</v>
      </c>
    </row>
    <row r="15">
      <c r="A15" t="inlineStr">
        <is>
          <t>Database Total</t>
        </is>
      </c>
      <c r="D15" t="n">
        <v>4</v>
      </c>
      <c r="E15" t="n">
        <v>2</v>
      </c>
      <c r="F15" t="n">
        <v>6</v>
      </c>
    </row>
    <row r="16">
      <c r="A16" t="inlineStr">
        <is>
          <t>Frontend</t>
        </is>
      </c>
      <c r="B16" t="inlineStr">
        <is>
          <t>Arthi/Tejasree</t>
        </is>
      </c>
      <c r="D16" t="n">
        <v>3</v>
      </c>
      <c r="E16" t="n">
        <v>2</v>
      </c>
      <c r="F16" t="n">
        <v>5</v>
      </c>
    </row>
    <row r="17">
      <c r="A17" t="inlineStr">
        <is>
          <t>Frontend Total</t>
        </is>
      </c>
      <c r="D17" t="n">
        <v>3</v>
      </c>
      <c r="E17" t="n">
        <v>2</v>
      </c>
      <c r="F17" t="n">
        <v>5</v>
      </c>
    </row>
    <row r="18">
      <c r="A18" t="inlineStr">
        <is>
          <t>Grand Total</t>
        </is>
      </c>
      <c r="C18" t="n">
        <v>17</v>
      </c>
      <c r="D18" t="n">
        <v>8</v>
      </c>
      <c r="E18" t="n">
        <v>4</v>
      </c>
      <c r="F18" t="n">
        <v>29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2025-12-12T06:55:36Z</dcterms:created>
  <dcterms:modified xmlns:dcterms="http://purl.org/dc/terms/" xmlns:xsi="http://www.w3.org/2001/XMLSchema-instance" xsi:type="dcterms:W3CDTF">2026-01-08T07:11:35Z</dcterms:modified>
  <cp:lastModifiedBy>Koppala Prabhakar Reddy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0x010100A39AD0935F78DE4CA2F8485258BE1843</vt:lpwstr>
  </property>
</Properties>
</file>